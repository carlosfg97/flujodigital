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1.xml" ContentType="application/vnd.openxmlformats-officedocument.spreadsheetml.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fabbri\Documents\Flujo Digital Consultoras\"/>
    </mc:Choice>
  </mc:AlternateContent>
  <bookViews>
    <workbookView xWindow="0" yWindow="0" windowWidth="20490" windowHeight="7050" firstSheet="1" activeTab="1"/>
  </bookViews>
  <sheets>
    <sheet name="Datos" sheetId="8" r:id="rId1"/>
    <sheet name="COMPARACIÓN Tabla Din" sheetId="11" r:id="rId2"/>
    <sheet name="CL Tabla Din" sheetId="5" r:id="rId3"/>
    <sheet name="CO Tabla Din" sheetId="9" r:id="rId4"/>
    <sheet name="Hoja6" sheetId="10" r:id="rId5"/>
    <sheet name="Chile" sheetId="3" r:id="rId6"/>
    <sheet name="Colombia" sheetId="4" r:id="rId7"/>
  </sheets>
  <definedNames>
    <definedName name="_xlnm._FilterDatabase" localSheetId="5" hidden="1">Chile!$B$4:$F$32</definedName>
    <definedName name="_xlnm._FilterDatabase" localSheetId="6" hidden="1">Colombia!$B$4:$F$33</definedName>
  </definedNames>
  <calcPr calcId="162913"/>
  <pivotCaches>
    <pivotCache cacheId="11" r:id="rId8"/>
    <pivotCache cacheId="12" r:id="rId9"/>
    <pivotCache cacheId="1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1" l="1"/>
  <c r="E7" i="11"/>
  <c r="E6" i="11"/>
  <c r="L9" i="11"/>
  <c r="I7" i="11" l="1"/>
  <c r="I8" i="11"/>
  <c r="I6" i="11"/>
  <c r="I10" i="11" s="1"/>
  <c r="C7" i="11"/>
  <c r="C8" i="11"/>
  <c r="C6" i="11"/>
  <c r="C10" i="11" s="1"/>
  <c r="J7" i="11"/>
  <c r="J8" i="11"/>
  <c r="J6" i="11"/>
  <c r="D8" i="11"/>
  <c r="D7" i="11"/>
  <c r="D6" i="11"/>
  <c r="D6" i="9"/>
  <c r="K8" i="11" s="1"/>
  <c r="D5" i="9"/>
  <c r="K7" i="11" s="1"/>
  <c r="D4" i="9"/>
  <c r="K6" i="11" s="1"/>
  <c r="C6" i="9"/>
  <c r="C5" i="9"/>
  <c r="C4" i="9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5" i="3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D6" i="5"/>
  <c r="D5" i="5"/>
  <c r="D4" i="5"/>
  <c r="C4" i="5"/>
  <c r="C6" i="5"/>
  <c r="C5" i="5"/>
  <c r="N34" i="4"/>
  <c r="F34" i="4"/>
  <c r="N32" i="3"/>
  <c r="F32" i="3"/>
  <c r="D44" i="4" l="1"/>
  <c r="C44" i="4"/>
  <c r="E44" i="4" s="1"/>
  <c r="E43" i="4"/>
  <c r="E42" i="4"/>
  <c r="E41" i="4"/>
  <c r="D40" i="3"/>
  <c r="C40" i="3"/>
  <c r="E40" i="3" s="1"/>
  <c r="E39" i="3"/>
  <c r="E38" i="3"/>
  <c r="E37" i="3"/>
</calcChain>
</file>

<file path=xl/sharedStrings.xml><?xml version="1.0" encoding="utf-8"?>
<sst xmlns="http://schemas.openxmlformats.org/spreadsheetml/2006/main" count="687" uniqueCount="53">
  <si>
    <t xml:space="preserve">1) </t>
  </si>
  <si>
    <t>¿Por qué página se genera la mayor venta?</t>
  </si>
  <si>
    <t>DesZona</t>
  </si>
  <si>
    <t>consultoras</t>
  </si>
  <si>
    <t>RealVtaDolNeto</t>
  </si>
  <si>
    <t>Contenedor</t>
  </si>
  <si>
    <t>General</t>
  </si>
  <si>
    <t>Home</t>
  </si>
  <si>
    <t>Pedido</t>
  </si>
  <si>
    <t>Showroom</t>
  </si>
  <si>
    <t xml:space="preserve">2) </t>
  </si>
  <si>
    <t>¿Cómo varía el CR por desktop, mobile y app?</t>
  </si>
  <si>
    <t>DesMedio</t>
  </si>
  <si>
    <t>App Consultora</t>
  </si>
  <si>
    <t>Desktop</t>
  </si>
  <si>
    <t>Mobile</t>
  </si>
  <si>
    <t>Consultoras_N</t>
  </si>
  <si>
    <t>Consultoras_D</t>
  </si>
  <si>
    <t>CR</t>
  </si>
  <si>
    <t>RD Landing</t>
  </si>
  <si>
    <t>TOTAL</t>
  </si>
  <si>
    <t>DesSeccion</t>
  </si>
  <si>
    <t>Oferta del Día</t>
  </si>
  <si>
    <t>OPM</t>
  </si>
  <si>
    <t>Oferta Final</t>
  </si>
  <si>
    <t>Product Page</t>
  </si>
  <si>
    <t>GND</t>
  </si>
  <si>
    <t>Ofertas para ti</t>
  </si>
  <si>
    <t>ShowRoom</t>
  </si>
  <si>
    <t>Landing Compra</t>
  </si>
  <si>
    <t>2018-05</t>
  </si>
  <si>
    <t>Revista Digital</t>
  </si>
  <si>
    <t>Etiquetas de fila</t>
  </si>
  <si>
    <t>Total general</t>
  </si>
  <si>
    <t>Suma de RealVtaDolNeto</t>
  </si>
  <si>
    <t>Etiquetas de columna</t>
  </si>
  <si>
    <t>%CR</t>
  </si>
  <si>
    <t>P$P Dig.</t>
  </si>
  <si>
    <t>OK</t>
  </si>
  <si>
    <t>CANAL</t>
  </si>
  <si>
    <t>SECCIÓN</t>
  </si>
  <si>
    <t>Traducción</t>
  </si>
  <si>
    <t>DesSeccion2</t>
  </si>
  <si>
    <t>CHILE</t>
  </si>
  <si>
    <t>COLOMBIA</t>
  </si>
  <si>
    <t>Vta Neta %</t>
  </si>
  <si>
    <t>SECCIÓN (SIN SR)</t>
  </si>
  <si>
    <t>(Todas)</t>
  </si>
  <si>
    <t>(Varios elementos)</t>
  </si>
  <si>
    <t>DIF.</t>
  </si>
  <si>
    <t>SECCIÓN (SIN GND)</t>
  </si>
  <si>
    <t>OPT</t>
  </si>
  <si>
    <t>DesZona2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</si>
</sst>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10" fontId="0" fillId="0" borderId="7" xfId="1" applyNumberFormat="1" applyFont="1" applyBorder="1"/>
    <xf numFmtId="10" fontId="0" fillId="0" borderId="8" xfId="1" applyNumberFormat="1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4" xfId="0" applyFont="1" applyBorder="1"/>
    <xf numFmtId="10" fontId="2" fillId="0" borderId="8" xfId="1" applyNumberFormat="1" applyFont="1" applyBorder="1"/>
    <xf numFmtId="0" fontId="2" fillId="0" borderId="0" xfId="0" applyFont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1" xfId="0" applyFont="1" applyBorder="1"/>
    <xf numFmtId="0" fontId="0" fillId="0" borderId="1" xfId="0" applyFont="1" applyBorder="1"/>
    <xf numFmtId="0" fontId="0" fillId="0" borderId="7" xfId="0" applyFont="1" applyBorder="1"/>
    <xf numFmtId="0" fontId="0" fillId="0" borderId="8" xfId="0" applyFont="1" applyBorder="1"/>
    <xf numFmtId="0" fontId="2" fillId="2" borderId="9" xfId="0" applyFont="1" applyFill="1" applyBorder="1"/>
    <xf numFmtId="0" fontId="3" fillId="0" borderId="0" xfId="0" applyFont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0" borderId="9" xfId="0" applyNumberFormat="1" applyBorder="1"/>
    <xf numFmtId="3" fontId="0" fillId="0" borderId="9" xfId="2" applyNumberFormat="1" applyFont="1" applyBorder="1"/>
    <xf numFmtId="3" fontId="0" fillId="0" borderId="10" xfId="0" applyNumberFormat="1" applyBorder="1"/>
    <xf numFmtId="0" fontId="2" fillId="0" borderId="0" xfId="0" applyFont="1"/>
    <xf numFmtId="9" fontId="0" fillId="0" borderId="0" xfId="1" applyFont="1"/>
    <xf numFmtId="0" fontId="2" fillId="0" borderId="0" xfId="0" applyFont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1" applyNumberFormat="1" applyFont="1"/>
    <xf numFmtId="0" fontId="2" fillId="0" borderId="9" xfId="0" applyFont="1" applyFill="1" applyBorder="1"/>
    <xf numFmtId="0" fontId="0" fillId="0" borderId="0" xfId="0" applyAlignment="1">
      <alignment horizontal="left" indent="1"/>
    </xf>
    <xf numFmtId="0" fontId="0" fillId="0" borderId="0" xfId="0" applyFill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left" indent="1"/>
    </xf>
    <xf numFmtId="1" fontId="0" fillId="0" borderId="0" xfId="0" applyNumberFormat="1" applyFill="1"/>
    <xf numFmtId="0" fontId="0" fillId="3" borderId="0" xfId="0" applyFill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9" fontId="2" fillId="0" borderId="0" xfId="0" applyNumberFormat="1" applyFont="1"/>
  </cellXfs>
  <cellStyles count="3">
    <cellStyle name="Millares" xfId="2" builtinId="3"/>
    <cellStyle name="Normal" xfId="0" builtinId="0"/>
    <cellStyle name="Porcentaje" xfId="1" builtinId="5"/>
  </cellStyles>
  <dxfs count="43">
    <dxf>
      <numFmt numFmtId="3" formatCode="#,##0"/>
    </dxf>
    <dxf>
      <numFmt numFmtId="1" formatCode="0"/>
    </dxf>
    <dxf>
      <numFmt numFmtId="165" formatCode="0.0"/>
    </dxf>
    <dxf>
      <numFmt numFmtId="2" formatCode="0.00"/>
    </dxf>
    <dxf>
      <numFmt numFmtId="166" formatCode="0.000"/>
    </dxf>
    <dxf>
      <numFmt numFmtId="167" formatCode="0.0000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fill>
        <patternFill patternType="solid">
          <bgColor theme="8" tint="0.59999389629810485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8" tint="0.59999389629810485"/>
        </patternFill>
      </fill>
    </dxf>
    <dxf>
      <numFmt numFmtId="14" formatCode="0.00%"/>
    </dxf>
    <dxf>
      <numFmt numFmtId="3" formatCode="#,##0"/>
    </dxf>
    <dxf>
      <fill>
        <patternFill patternType="solid">
          <bgColor theme="8" tint="0.59999389629810485"/>
        </patternFill>
      </fill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fill>
        <patternFill patternType="solid">
          <bgColor theme="8" tint="0.59999389629810485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briel Enrique Quedena Robles" refreshedDate="43200.336803703707" createdVersion="6" refreshedVersion="6" minRefreshableVersion="3" recordCount="29">
  <cacheSource type="worksheet">
    <worksheetSource ref="B4:H33" sheet="Colombia"/>
  </cacheSource>
  <cacheFields count="7">
    <cacheField name="DesMedio" numFmtId="0">
      <sharedItems count="3">
        <s v="App Consultora"/>
        <s v="Desktop"/>
        <s v="Mobile"/>
      </sharedItems>
    </cacheField>
    <cacheField name="DesZona" numFmtId="0">
      <sharedItems/>
    </cacheField>
    <cacheField name="DesSeccion" numFmtId="0">
      <sharedItems/>
    </cacheField>
    <cacheField name="consultoras" numFmtId="0">
      <sharedItems containsSemiMixedTypes="0" containsString="0" containsNumber="1" containsInteger="1" minValue="1" maxValue="3101"/>
    </cacheField>
    <cacheField name="RealVtaDolNeto" numFmtId="0">
      <sharedItems containsSemiMixedTypes="0" containsString="0" containsNumber="1" minValue="5.4621539115905797" maxValue="60248.631955087199"/>
    </cacheField>
    <cacheField name="Traducción" numFmtId="0">
      <sharedItems count="4">
        <s v="Ofertas para ti"/>
        <s v="Oferta del Día"/>
        <s v="Oferta Final"/>
        <s v="ShowRoom"/>
      </sharedItems>
    </cacheField>
    <cacheField name="DesSeccion2" numFmtId="0">
      <sharedItems count="6">
        <s v="Contenedor"/>
        <s v="Home"/>
        <s v="Pedido"/>
        <s v="RD Landing"/>
        <s v="Product Page"/>
        <s v="Landing Comp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abriel Enrique Quedena Robles" refreshedDate="43200.336805208331" createdVersion="6" refreshedVersion="6" minRefreshableVersion="3" recordCount="27">
  <cacheSource type="worksheet">
    <worksheetSource ref="B4:H31" sheet="Chile"/>
  </cacheSource>
  <cacheFields count="7">
    <cacheField name="DesMedio" numFmtId="0">
      <sharedItems/>
    </cacheField>
    <cacheField name="DesZona" numFmtId="0">
      <sharedItems count="5">
        <s v="General"/>
        <s v="Home"/>
        <s v="Pedido"/>
        <s v="RD Landing"/>
        <s v="Contenedor"/>
      </sharedItems>
    </cacheField>
    <cacheField name="DesSeccion" numFmtId="0">
      <sharedItems count="6">
        <s v="Oferta del Día"/>
        <s v="OPM"/>
        <s v="Oferta Final"/>
        <s v="Revista Digital"/>
        <s v="GND"/>
        <s v="Ofertas para ti"/>
      </sharedItems>
    </cacheField>
    <cacheField name="consultoras" numFmtId="0">
      <sharedItems containsSemiMixedTypes="0" containsString="0" containsNumber="1" containsInteger="1" minValue="3" maxValue="2686"/>
    </cacheField>
    <cacheField name="RealVtaDolNeto" numFmtId="3">
      <sharedItems containsSemiMixedTypes="0" containsString="0" containsNumber="1" minValue="46.812642097473102" maxValue="73754.655967593193"/>
    </cacheField>
    <cacheField name="Traducción" numFmtId="0">
      <sharedItems count="4">
        <s v="Oferta del Día"/>
        <s v="Ofertas para ti"/>
        <s v="Oferta Final"/>
        <s v="GND"/>
      </sharedItems>
    </cacheField>
    <cacheField name="DesSeccion2" numFmtId="0">
      <sharedItems count="4">
        <s v="Contenedor"/>
        <s v="Home"/>
        <s v="Pedido"/>
        <s v="RD La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abriel Enrique Quedena Robles" refreshedDate="43200.336806597224" createdVersion="6" refreshedVersion="6" minRefreshableVersion="3" recordCount="27">
  <cacheSource type="worksheet">
    <worksheetSource ref="B4:F31" sheet="Chile"/>
  </cacheSource>
  <cacheFields count="5">
    <cacheField name="DesMedio" numFmtId="0">
      <sharedItems count="3">
        <s v="App Consultora"/>
        <s v="Desktop"/>
        <s v="Mobile"/>
      </sharedItems>
    </cacheField>
    <cacheField name="DesZona" numFmtId="0">
      <sharedItems/>
    </cacheField>
    <cacheField name="DesSeccion" numFmtId="0">
      <sharedItems count="6">
        <s v="Oferta del Día"/>
        <s v="OPM"/>
        <s v="Oferta Final"/>
        <s v="Revista Digital"/>
        <s v="GND"/>
        <s v="Ofertas para ti"/>
      </sharedItems>
    </cacheField>
    <cacheField name="consultoras" numFmtId="0">
      <sharedItems containsSemiMixedTypes="0" containsString="0" containsNumber="1" containsInteger="1" minValue="3" maxValue="2686"/>
    </cacheField>
    <cacheField name="RealVtaDolNeto" numFmtId="3">
      <sharedItems containsSemiMixedTypes="0" containsString="0" containsNumber="1" minValue="46.812642097473102" maxValue="73754.655967593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s v="Contenedor"/>
    <s v="Ofertas para ti"/>
    <n v="505"/>
    <n v="5298.2944364547702"/>
    <x v="0"/>
    <x v="0"/>
  </r>
  <r>
    <x v="0"/>
    <s v="General"/>
    <s v="Oferta del Día"/>
    <n v="591"/>
    <n v="9413.5246951579993"/>
    <x v="1"/>
    <x v="0"/>
  </r>
  <r>
    <x v="0"/>
    <s v="Home"/>
    <s v="Ofertas para ti"/>
    <n v="1"/>
    <n v="5.4621539115905797"/>
    <x v="0"/>
    <x v="1"/>
  </r>
  <r>
    <x v="0"/>
    <s v="Home"/>
    <s v="OPM"/>
    <n v="2"/>
    <n v="18.276748180389401"/>
    <x v="0"/>
    <x v="1"/>
  </r>
  <r>
    <x v="0"/>
    <s v="Pedido"/>
    <s v="Oferta Final"/>
    <n v="189"/>
    <n v="1861.4786350727099"/>
    <x v="2"/>
    <x v="2"/>
  </r>
  <r>
    <x v="0"/>
    <s v="RD Landing"/>
    <s v="Revista Digital"/>
    <n v="21"/>
    <n v="228.70249509811401"/>
    <x v="0"/>
    <x v="3"/>
  </r>
  <r>
    <x v="0"/>
    <s v="Product Page"/>
    <s v="Showroom"/>
    <n v="638"/>
    <n v="12363.2841030359"/>
    <x v="3"/>
    <x v="4"/>
  </r>
  <r>
    <x v="1"/>
    <s v="Contenedor"/>
    <s v="Ofertas para ti"/>
    <n v="969"/>
    <n v="9455.3011736869794"/>
    <x v="0"/>
    <x v="0"/>
  </r>
  <r>
    <x v="1"/>
    <s v="Contenedor"/>
    <s v="OPM"/>
    <n v="30"/>
    <n v="326.96435260772699"/>
    <x v="0"/>
    <x v="0"/>
  </r>
  <r>
    <x v="1"/>
    <s v="Contenedor"/>
    <s v="Showroom"/>
    <n v="703"/>
    <n v="12258.5708338022"/>
    <x v="3"/>
    <x v="0"/>
  </r>
  <r>
    <x v="1"/>
    <s v="General"/>
    <s v="Oferta del Día"/>
    <n v="1093"/>
    <n v="16405.201761007302"/>
    <x v="1"/>
    <x v="0"/>
  </r>
  <r>
    <x v="1"/>
    <s v="Home"/>
    <s v="Oferta del Día"/>
    <n v="148"/>
    <n v="2188.0340063571898"/>
    <x v="1"/>
    <x v="1"/>
  </r>
  <r>
    <x v="1"/>
    <s v="Home"/>
    <s v="Ofertas para ti"/>
    <n v="370"/>
    <n v="3516.6487464904799"/>
    <x v="0"/>
    <x v="1"/>
  </r>
  <r>
    <x v="1"/>
    <s v="Pedido"/>
    <s v="Oferta del Día"/>
    <n v="493"/>
    <n v="7422.3559026718103"/>
    <x v="1"/>
    <x v="2"/>
  </r>
  <r>
    <x v="1"/>
    <s v="Pedido"/>
    <s v="Oferta Final"/>
    <n v="539"/>
    <n v="5657.8223035335504"/>
    <x v="2"/>
    <x v="2"/>
  </r>
  <r>
    <x v="1"/>
    <s v="Pedido"/>
    <s v="Ofertas para ti"/>
    <n v="2270"/>
    <n v="22406.381796121601"/>
    <x v="0"/>
    <x v="2"/>
  </r>
  <r>
    <x v="1"/>
    <s v="Pedido"/>
    <s v="OPM"/>
    <n v="259"/>
    <n v="2656.0362381935101"/>
    <x v="0"/>
    <x v="2"/>
  </r>
  <r>
    <x v="1"/>
    <s v="RD Landing"/>
    <s v="Revista Digital"/>
    <n v="1"/>
    <n v="5.5802092552185103"/>
    <x v="0"/>
    <x v="3"/>
  </r>
  <r>
    <x v="1"/>
    <s v="RD Landing"/>
    <s v="Revista Digital"/>
    <n v="81"/>
    <n v="783.37325167655899"/>
    <x v="0"/>
    <x v="3"/>
  </r>
  <r>
    <x v="1"/>
    <s v="Home"/>
    <s v="Showroom"/>
    <n v="349"/>
    <n v="6232.8491727709797"/>
    <x v="3"/>
    <x v="1"/>
  </r>
  <r>
    <x v="1"/>
    <s v="Landing Compra"/>
    <s v="Showroom"/>
    <n v="3101"/>
    <n v="60248.631955087199"/>
    <x v="3"/>
    <x v="5"/>
  </r>
  <r>
    <x v="1"/>
    <s v="Product Page"/>
    <s v="Showroom"/>
    <n v="544"/>
    <n v="7022.8959673643103"/>
    <x v="3"/>
    <x v="4"/>
  </r>
  <r>
    <x v="2"/>
    <s v="Contenedor"/>
    <s v="Ofertas para ti"/>
    <n v="721"/>
    <n v="7328.57881784439"/>
    <x v="0"/>
    <x v="0"/>
  </r>
  <r>
    <x v="2"/>
    <s v="General"/>
    <s v="Oferta del Día"/>
    <n v="775"/>
    <n v="12038.8033409119"/>
    <x v="1"/>
    <x v="0"/>
  </r>
  <r>
    <x v="2"/>
    <s v="Home"/>
    <s v="Ofertas para ti"/>
    <n v="493"/>
    <n v="5342.8342142105103"/>
    <x v="0"/>
    <x v="1"/>
  </r>
  <r>
    <x v="2"/>
    <s v="Home"/>
    <s v="OPM"/>
    <n v="57"/>
    <n v="638.01621866226196"/>
    <x v="0"/>
    <x v="1"/>
  </r>
  <r>
    <x v="2"/>
    <s v="Pedido"/>
    <s v="Oferta Final"/>
    <n v="400"/>
    <n v="3826.43571352959"/>
    <x v="2"/>
    <x v="2"/>
  </r>
  <r>
    <x v="2"/>
    <s v="RD Landing"/>
    <s v="Revista Digital"/>
    <n v="54"/>
    <n v="591.57631063461304"/>
    <x v="0"/>
    <x v="3"/>
  </r>
  <r>
    <x v="2"/>
    <s v="Product Page"/>
    <s v="Showroom"/>
    <n v="1682"/>
    <n v="34356.172807157003"/>
    <x v="3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">
  <r>
    <s v="App Consultora"/>
    <x v="0"/>
    <x v="0"/>
    <n v="313"/>
    <n v="6387.5076303482101"/>
    <x v="0"/>
    <x v="0"/>
  </r>
  <r>
    <s v="App Consultora"/>
    <x v="1"/>
    <x v="1"/>
    <n v="77"/>
    <n v="2041.5031466484099"/>
    <x v="1"/>
    <x v="1"/>
  </r>
  <r>
    <s v="App Consultora"/>
    <x v="2"/>
    <x v="2"/>
    <n v="300"/>
    <n v="2715.29379856586"/>
    <x v="2"/>
    <x v="2"/>
  </r>
  <r>
    <s v="App Consultora"/>
    <x v="2"/>
    <x v="1"/>
    <n v="8"/>
    <n v="142.77583360672"/>
    <x v="1"/>
    <x v="2"/>
  </r>
  <r>
    <s v="App Consultora"/>
    <x v="3"/>
    <x v="3"/>
    <n v="234"/>
    <n v="6226.0600011348697"/>
    <x v="1"/>
    <x v="3"/>
  </r>
  <r>
    <s v="App Consultora"/>
    <x v="3"/>
    <x v="3"/>
    <n v="805"/>
    <n v="21643.738758507199"/>
    <x v="1"/>
    <x v="3"/>
  </r>
  <r>
    <s v="App Consultora"/>
    <x v="3"/>
    <x v="3"/>
    <n v="3"/>
    <n v="46.812642097473102"/>
    <x v="1"/>
    <x v="3"/>
  </r>
  <r>
    <s v="Desktop"/>
    <x v="4"/>
    <x v="4"/>
    <n v="1654"/>
    <n v="45515.355929732301"/>
    <x v="3"/>
    <x v="0"/>
  </r>
  <r>
    <s v="Desktop"/>
    <x v="4"/>
    <x v="1"/>
    <n v="556"/>
    <n v="13127.861427784001"/>
    <x v="1"/>
    <x v="0"/>
  </r>
  <r>
    <s v="Desktop"/>
    <x v="0"/>
    <x v="0"/>
    <n v="730"/>
    <n v="14547.912848472601"/>
    <x v="0"/>
    <x v="0"/>
  </r>
  <r>
    <s v="Desktop"/>
    <x v="1"/>
    <x v="0"/>
    <n v="186"/>
    <n v="3423.50937008858"/>
    <x v="0"/>
    <x v="1"/>
  </r>
  <r>
    <s v="Desktop"/>
    <x v="1"/>
    <x v="5"/>
    <n v="187"/>
    <n v="3462.7424517301802"/>
    <x v="1"/>
    <x v="1"/>
  </r>
  <r>
    <s v="Desktop"/>
    <x v="1"/>
    <x v="1"/>
    <n v="75"/>
    <n v="1486.13473725319"/>
    <x v="1"/>
    <x v="1"/>
  </r>
  <r>
    <s v="Desktop"/>
    <x v="2"/>
    <x v="0"/>
    <n v="330"/>
    <n v="6140.0805120468103"/>
    <x v="0"/>
    <x v="2"/>
  </r>
  <r>
    <s v="Desktop"/>
    <x v="2"/>
    <x v="2"/>
    <n v="2686"/>
    <n v="26632.934366107002"/>
    <x v="2"/>
    <x v="2"/>
  </r>
  <r>
    <s v="Desktop"/>
    <x v="2"/>
    <x v="1"/>
    <n v="785"/>
    <n v="14856.3951832736"/>
    <x v="1"/>
    <x v="2"/>
  </r>
  <r>
    <s v="Desktop"/>
    <x v="3"/>
    <x v="3"/>
    <n v="692"/>
    <n v="8565.9625953733903"/>
    <x v="1"/>
    <x v="3"/>
  </r>
  <r>
    <s v="Desktop"/>
    <x v="3"/>
    <x v="3"/>
    <n v="28"/>
    <n v="717.61020016670204"/>
    <x v="1"/>
    <x v="3"/>
  </r>
  <r>
    <s v="Desktop"/>
    <x v="3"/>
    <x v="3"/>
    <n v="2114"/>
    <n v="58267.078411102302"/>
    <x v="1"/>
    <x v="3"/>
  </r>
  <r>
    <s v="Mobile"/>
    <x v="4"/>
    <x v="4"/>
    <n v="1296"/>
    <n v="35865.371140479998"/>
    <x v="3"/>
    <x v="0"/>
  </r>
  <r>
    <s v="Mobile"/>
    <x v="0"/>
    <x v="0"/>
    <n v="1279"/>
    <n v="25618.891978740699"/>
    <x v="0"/>
    <x v="0"/>
  </r>
  <r>
    <s v="Mobile"/>
    <x v="1"/>
    <x v="1"/>
    <n v="736"/>
    <n v="15036.4103527917"/>
    <x v="1"/>
    <x v="1"/>
  </r>
  <r>
    <s v="Mobile"/>
    <x v="2"/>
    <x v="2"/>
    <n v="1138"/>
    <n v="10745.0180279016"/>
    <x v="2"/>
    <x v="2"/>
  </r>
  <r>
    <s v="Mobile"/>
    <x v="2"/>
    <x v="1"/>
    <n v="39"/>
    <n v="852.54340267181396"/>
    <x v="1"/>
    <x v="2"/>
  </r>
  <r>
    <s v="Mobile"/>
    <x v="3"/>
    <x v="3"/>
    <n v="638"/>
    <n v="15728.369644403499"/>
    <x v="1"/>
    <x v="3"/>
  </r>
  <r>
    <s v="Mobile"/>
    <x v="3"/>
    <x v="3"/>
    <n v="2569"/>
    <n v="73754.655967593193"/>
    <x v="1"/>
    <x v="3"/>
  </r>
  <r>
    <s v="Mobile"/>
    <x v="3"/>
    <x v="3"/>
    <n v="6"/>
    <n v="145.168331861496"/>
    <x v="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7">
  <r>
    <x v="0"/>
    <s v="General"/>
    <x v="0"/>
    <n v="313"/>
    <n v="6387.5076303482101"/>
  </r>
  <r>
    <x v="0"/>
    <s v="Home"/>
    <x v="1"/>
    <n v="77"/>
    <n v="2041.5031466484099"/>
  </r>
  <r>
    <x v="0"/>
    <s v="Pedido"/>
    <x v="2"/>
    <n v="300"/>
    <n v="2715.29379856586"/>
  </r>
  <r>
    <x v="0"/>
    <s v="Pedido"/>
    <x v="1"/>
    <n v="8"/>
    <n v="142.77583360672"/>
  </r>
  <r>
    <x v="0"/>
    <s v="RD Landing"/>
    <x v="3"/>
    <n v="234"/>
    <n v="6226.0600011348697"/>
  </r>
  <r>
    <x v="0"/>
    <s v="RD Landing"/>
    <x v="3"/>
    <n v="805"/>
    <n v="21643.738758507199"/>
  </r>
  <r>
    <x v="0"/>
    <s v="RD Landing"/>
    <x v="3"/>
    <n v="3"/>
    <n v="46.812642097473102"/>
  </r>
  <r>
    <x v="1"/>
    <s v="Contenedor"/>
    <x v="4"/>
    <n v="1654"/>
    <n v="45515.355929732301"/>
  </r>
  <r>
    <x v="1"/>
    <s v="Contenedor"/>
    <x v="1"/>
    <n v="556"/>
    <n v="13127.861427784001"/>
  </r>
  <r>
    <x v="1"/>
    <s v="General"/>
    <x v="0"/>
    <n v="730"/>
    <n v="14547.912848472601"/>
  </r>
  <r>
    <x v="1"/>
    <s v="Home"/>
    <x v="0"/>
    <n v="186"/>
    <n v="3423.50937008858"/>
  </r>
  <r>
    <x v="1"/>
    <s v="Home"/>
    <x v="5"/>
    <n v="187"/>
    <n v="3462.7424517301802"/>
  </r>
  <r>
    <x v="1"/>
    <s v="Home"/>
    <x v="1"/>
    <n v="75"/>
    <n v="1486.13473725319"/>
  </r>
  <r>
    <x v="1"/>
    <s v="Pedido"/>
    <x v="0"/>
    <n v="330"/>
    <n v="6140.0805120468103"/>
  </r>
  <r>
    <x v="1"/>
    <s v="Pedido"/>
    <x v="2"/>
    <n v="2686"/>
    <n v="26632.934366107002"/>
  </r>
  <r>
    <x v="1"/>
    <s v="Pedido"/>
    <x v="1"/>
    <n v="785"/>
    <n v="14856.3951832736"/>
  </r>
  <r>
    <x v="1"/>
    <s v="RD Landing"/>
    <x v="3"/>
    <n v="692"/>
    <n v="8565.9625953733903"/>
  </r>
  <r>
    <x v="1"/>
    <s v="RD Landing"/>
    <x v="3"/>
    <n v="28"/>
    <n v="717.61020016670204"/>
  </r>
  <r>
    <x v="1"/>
    <s v="RD Landing"/>
    <x v="3"/>
    <n v="2114"/>
    <n v="58267.078411102302"/>
  </r>
  <r>
    <x v="2"/>
    <s v="Contenedor"/>
    <x v="4"/>
    <n v="1296"/>
    <n v="35865.371140479998"/>
  </r>
  <r>
    <x v="2"/>
    <s v="General"/>
    <x v="0"/>
    <n v="1279"/>
    <n v="25618.891978740699"/>
  </r>
  <r>
    <x v="2"/>
    <s v="Home"/>
    <x v="1"/>
    <n v="736"/>
    <n v="15036.4103527917"/>
  </r>
  <r>
    <x v="2"/>
    <s v="Pedido"/>
    <x v="2"/>
    <n v="1138"/>
    <n v="10745.0180279016"/>
  </r>
  <r>
    <x v="2"/>
    <s v="Pedido"/>
    <x v="1"/>
    <n v="39"/>
    <n v="852.54340267181396"/>
  </r>
  <r>
    <x v="2"/>
    <s v="RD Landing"/>
    <x v="3"/>
    <n v="638"/>
    <n v="15728.369644403499"/>
  </r>
  <r>
    <x v="2"/>
    <s v="RD Landing"/>
    <x v="3"/>
    <n v="2569"/>
    <n v="73754.655967593193"/>
  </r>
  <r>
    <x v="2"/>
    <s v="RD Landing"/>
    <x v="3"/>
    <n v="6"/>
    <n v="145.1683318614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5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4:H46" firstHeaderRow="1" firstDataRow="1" firstDataCol="1"/>
  <pivotFields count="7">
    <pivotField showAll="0"/>
    <pivotField showAll="0"/>
    <pivotField showAll="0"/>
    <pivotField showAll="0"/>
    <pivotField dataField="1" showAll="0"/>
    <pivotField axis="axisRow" multipleItemSelectionAllowed="1" showAll="0" defaultSubtotal="0">
      <items count="4">
        <item x="1"/>
        <item x="2"/>
        <item x="0"/>
        <item h="1" x="3"/>
      </items>
    </pivotField>
    <pivotField axis="axisRow" showAll="0" defaultSubtotal="0">
      <items count="6">
        <item x="0"/>
        <item x="1"/>
        <item x="2"/>
        <item x="5"/>
        <item x="4"/>
        <item x="3"/>
      </items>
    </pivotField>
  </pivotFields>
  <rowFields count="2">
    <field x="5"/>
    <field x="6"/>
  </rowFields>
  <rowItems count="12">
    <i>
      <x/>
    </i>
    <i r="1">
      <x/>
    </i>
    <i r="1">
      <x v="1"/>
    </i>
    <i r="1">
      <x v="2"/>
    </i>
    <i>
      <x v="1"/>
    </i>
    <i r="1">
      <x v="2"/>
    </i>
    <i>
      <x v="2"/>
    </i>
    <i r="1">
      <x/>
    </i>
    <i r="1">
      <x v="1"/>
    </i>
    <i r="1">
      <x v="2"/>
    </i>
    <i r="1">
      <x v="5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3">
    <format dxfId="24">
      <pivotArea outline="0" collapsedLevelsAreSubtotals="1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fieldPosition="0">
        <references count="1">
          <reference field="6" count="2">
            <x v="3"/>
            <x v="4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0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25:H30" firstHeaderRow="1" firstDataRow="1" firstDataCol="1" rowPageCount="1" colPageCount="1"/>
  <pivotFields count="7">
    <pivotField showAll="0"/>
    <pivotField showAll="0"/>
    <pivotField showAll="0"/>
    <pivotField showAll="0"/>
    <pivotField dataField="1" showAll="0"/>
    <pivotField axis="axisPage" multipleItemSelectionAllowed="1" showAll="0" defaultSubtotal="0">
      <items count="4">
        <item x="1"/>
        <item x="2"/>
        <item x="0"/>
        <item h="1" x="3"/>
      </items>
    </pivotField>
    <pivotField axis="axisRow" showAll="0" defaultSubtotal="0">
      <items count="6">
        <item x="0"/>
        <item x="1"/>
        <item x="2"/>
        <item x="5"/>
        <item x="4"/>
        <item x="3"/>
      </items>
    </pivotField>
  </pivotFields>
  <rowFields count="1">
    <field x="6"/>
  </rowFields>
  <rowItems count="5">
    <i>
      <x/>
    </i>
    <i>
      <x v="1"/>
    </i>
    <i>
      <x v="2"/>
    </i>
    <i>
      <x v="5"/>
    </i>
    <i t="grand">
      <x/>
    </i>
  </rowItems>
  <colItems count="1">
    <i/>
  </colItems>
  <pageFields count="1">
    <pageField fld="5" hier="-1"/>
  </pageField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3">
    <format dxfId="27">
      <pivotArea outline="0" collapsedLevelsAreSubtotals="1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dataOnly="0" labelOnly="1" fieldPosition="0">
        <references count="1">
          <reference field="6" count="2">
            <x v="3"/>
            <x v="4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1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5:B30" firstHeaderRow="1" firstDataRow="1" firstDataCol="1" rowPageCount="1" colPageCount="1"/>
  <pivotFields count="7">
    <pivotField showAll="0"/>
    <pivotField showAll="0"/>
    <pivotField showAll="0"/>
    <pivotField showAll="0"/>
    <pivotField dataField="1" showAll="0"/>
    <pivotField axis="axisPage" multipleItemSelectionAllowed="1" showAll="0" defaultSubtotal="0">
      <items count="4">
        <item x="0"/>
        <item x="2"/>
        <item x="1"/>
        <item x="3"/>
      </items>
    </pivotField>
    <pivotField axis="axisRow" showAll="0" sortType="ascending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8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5:H9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30">
      <pivotArea outline="0" collapsedLevelsAreSubtotals="1" fieldPosition="0"/>
    </format>
  </formats>
  <conditionalFormats count="1"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6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4:B48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0"/>
        <item x="2"/>
        <item x="1"/>
        <item x="3"/>
      </items>
    </pivotField>
    <pivotField axis="axisRow" showAll="0" sortType="descending" defaultSubtotal="0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6"/>
  </rowFields>
  <rowItems count="14">
    <i>
      <x/>
    </i>
    <i r="1">
      <x/>
    </i>
    <i r="1">
      <x v="2"/>
    </i>
    <i r="1">
      <x v="1"/>
    </i>
    <i>
      <x v="1"/>
    </i>
    <i r="1">
      <x v="2"/>
    </i>
    <i>
      <x v="2"/>
    </i>
    <i r="1">
      <x v="3"/>
    </i>
    <i r="1">
      <x v="1"/>
    </i>
    <i r="1">
      <x v="2"/>
    </i>
    <i r="1">
      <x/>
    </i>
    <i>
      <x v="3"/>
    </i>
    <i r="1">
      <x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32">
      <pivotArea outline="0" collapsedLevelsAreSubtotals="1" fieldPosition="0"/>
    </format>
    <format dxfId="3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4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0:B65" firstHeaderRow="1" firstDataRow="1" firstDataCol="1"/>
  <pivotFields count="7">
    <pivotField showAll="0"/>
    <pivotField showAll="0"/>
    <pivotField axis="axisRow" showAll="0">
      <items count="7">
        <item x="4"/>
        <item x="0"/>
        <item x="2"/>
        <item x="5"/>
        <item x="1"/>
        <item x="3"/>
        <item t="default"/>
      </items>
    </pivotField>
    <pivotField showAll="0"/>
    <pivotField dataField="1" showAll="0"/>
    <pivotField showAll="0" defaultSubtotal="0"/>
    <pivotField axis="axisRow" showAll="0" sortType="descending" defaultSubtotal="0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2"/>
  </rowFields>
  <rowItems count="15">
    <i>
      <x v="3"/>
    </i>
    <i r="1">
      <x v="5"/>
    </i>
    <i>
      <x/>
    </i>
    <i r="1">
      <x/>
    </i>
    <i r="1">
      <x v="1"/>
    </i>
    <i r="1">
      <x v="4"/>
    </i>
    <i>
      <x v="2"/>
    </i>
    <i r="1">
      <x v="1"/>
    </i>
    <i r="1">
      <x v="2"/>
    </i>
    <i r="1">
      <x v="4"/>
    </i>
    <i>
      <x v="1"/>
    </i>
    <i r="1">
      <x v="1"/>
    </i>
    <i r="1">
      <x v="3"/>
    </i>
    <i r="1">
      <x v="4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34">
      <pivotArea outline="0" collapsedLevelsAreSubtotals="1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2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B18" firstHeaderRow="1" firstDataRow="1" firstDataCol="1"/>
  <pivotFields count="7">
    <pivotField showAll="0"/>
    <pivotField showAll="0"/>
    <pivotField showAll="0"/>
    <pivotField showAll="0"/>
    <pivotField dataField="1" showAll="0"/>
    <pivotField showAll="0" defaultSubtotal="0"/>
    <pivotField axis="axisRow" showAll="0" sortType="ascending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36">
      <pivotArea outline="0" collapsedLevelsAreSubtotals="1" fieldPosition="0"/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9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3:H20" firstHeaderRow="1" firstDataRow="1" firstDataCol="1"/>
  <pivotFields count="7">
    <pivotField showAll="0"/>
    <pivotField showAll="0"/>
    <pivotField showAll="0"/>
    <pivotField showAll="0"/>
    <pivotField dataField="1" showAll="0"/>
    <pivotField showAll="0" defaultSubtotal="0"/>
    <pivotField axis="axisRow" showAll="0" defaultSubtotal="0">
      <items count="6">
        <item x="0"/>
        <item x="1"/>
        <item x="2"/>
        <item x="5"/>
        <item x="4"/>
        <item x="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3">
    <format dxfId="39">
      <pivotArea outline="0" collapsedLevelsAreSubtotals="1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6" count="2">
            <x v="3"/>
            <x v="4"/>
          </reference>
        </references>
      </pivotArea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:B9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40">
      <pivotArea outline="0" collapsedLevelsAreSubtotals="1" fieldPosition="0"/>
    </format>
  </formats>
  <conditionalFormats count="1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Dinámica7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72:B77" firstHeaderRow="1" firstDataRow="1" firstDataCol="1" rowPageCount="1" colPageCount="1"/>
  <pivotFields count="7">
    <pivotField showAll="0"/>
    <pivotField showAll="0"/>
    <pivotField showAll="0"/>
    <pivotField showAll="0"/>
    <pivotField dataField="1" showAll="0"/>
    <pivotField axis="axisPage" multipleItemSelectionAllowed="1" showAll="0" defaultSubtotal="0">
      <items count="4">
        <item x="0"/>
        <item x="2"/>
        <item x="1"/>
        <item h="1" x="3"/>
      </items>
    </pivotField>
    <pivotField axis="axisRow" showAll="0" sortType="ascending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42">
      <pivotArea outline="0" collapsedLevelsAreSubtotals="1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Dinámica3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3:G8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0"/>
        <item x="2"/>
        <item x="1"/>
        <item x="3"/>
      </items>
    </pivotField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Dinámica2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:B16" firstHeaderRow="1" firstDataRow="1" firstDataCol="1"/>
  <pivotFields count="7">
    <pivotField showAll="0"/>
    <pivotField showAll="0"/>
    <pivotField showAll="0"/>
    <pivotField showAll="0"/>
    <pivotField dataField="1" showAll="0"/>
    <pivotField showAll="0" defaultSubtotal="0"/>
    <pivotField axis="axisRow" showAll="0" sortType="descending" defaultSubtotal="0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16">
      <pivotArea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aDinámica6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8:B32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0"/>
        <item x="2"/>
        <item x="1"/>
        <item x="3"/>
      </items>
    </pivotField>
    <pivotField axis="axisRow" showAll="0" sortType="descending" defaultSubtotal="0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6"/>
  </rowFields>
  <rowItems count="14">
    <i>
      <x/>
    </i>
    <i r="1">
      <x/>
    </i>
    <i r="1">
      <x v="2"/>
    </i>
    <i r="1">
      <x v="1"/>
    </i>
    <i>
      <x v="1"/>
    </i>
    <i r="1">
      <x v="2"/>
    </i>
    <i>
      <x v="2"/>
    </i>
    <i r="1">
      <x v="3"/>
    </i>
    <i r="1">
      <x v="1"/>
    </i>
    <i r="1">
      <x v="2"/>
    </i>
    <i r="1">
      <x/>
    </i>
    <i>
      <x v="3"/>
    </i>
    <i r="1">
      <x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18">
      <pivotArea outline="0" collapsedLevelsAreSubtotals="1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laDiná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19">
      <pivotArea outline="0" collapsedLevelsAreSubtotals="1" fieldPosition="0"/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laDinámica17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:J9" firstHeaderRow="1" firstDataRow="1" firstDataCol="1"/>
  <pivotFields count="7">
    <pivotField showAll="0"/>
    <pivotField showAll="0">
      <items count="6">
        <item x="4"/>
        <item x="0"/>
        <item x="1"/>
        <item x="2"/>
        <item x="3"/>
        <item t="default"/>
      </items>
    </pivotField>
    <pivotField axis="axisRow" showAll="0">
      <items count="7">
        <item x="4"/>
        <item x="0"/>
        <item x="2"/>
        <item x="5"/>
        <item x="1"/>
        <item x="3"/>
        <item t="default"/>
      </items>
    </pivotField>
    <pivotField showAll="0"/>
    <pivotField dataField="1" showAll="0"/>
    <pivotField showAll="0" defaultSubtotal="0">
      <items count="4">
        <item x="0"/>
        <item x="2"/>
        <item x="1"/>
        <item x="3"/>
      </items>
    </pivotField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laDinámica4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13:K19" firstHeaderRow="1" firstDataRow="2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0"/>
        <item x="2"/>
        <item x="1"/>
        <item x="3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a de RealVtaDolNeto" fld="4" baseField="0" baseItem="0" numFmtId="3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laDinámica4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13:M19" firstHeaderRow="1" firstDataRow="2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1"/>
        <item x="2"/>
        <item x="0"/>
        <item x="3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RealVtaDolNeto" fld="4" baseField="0" baseItem="0" numFmtId="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TablaDiná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7">
      <pivotArea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ablaDinámica6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2:B39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1"/>
        <item x="2"/>
        <item x="0"/>
        <item x="3"/>
      </items>
    </pivotField>
    <pivotField axis="axisRow" showAll="0" sortType="descending" defaultSubtotal="0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6"/>
  </rowFields>
  <rowItems count="17">
    <i>
      <x/>
    </i>
    <i r="1">
      <x/>
    </i>
    <i r="1">
      <x v="2"/>
    </i>
    <i r="1">
      <x v="1"/>
    </i>
    <i>
      <x v="1"/>
    </i>
    <i r="1">
      <x v="2"/>
    </i>
    <i>
      <x v="2"/>
    </i>
    <i r="1">
      <x v="2"/>
    </i>
    <i r="1">
      <x/>
    </i>
    <i r="1">
      <x v="1"/>
    </i>
    <i r="1">
      <x v="3"/>
    </i>
    <i>
      <x v="3"/>
    </i>
    <i r="1">
      <x v="5"/>
    </i>
    <i r="1">
      <x v="4"/>
    </i>
    <i r="1">
      <x/>
    </i>
    <i r="1">
      <x v="1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:B18" firstHeaderRow="1" firstDataRow="1" firstDataCol="1"/>
  <pivotFields count="7">
    <pivotField showAll="0"/>
    <pivotField showAll="0"/>
    <pivotField showAll="0"/>
    <pivotField showAll="0"/>
    <pivotField dataField="1" showAll="0"/>
    <pivotField showAll="0" defaultSubtotal="0"/>
    <pivotField axis="axisRow" showAll="0" sortType="descending" defaultSubtotal="0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7">
    <i>
      <x/>
    </i>
    <i>
      <x v="5"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a de RealVtaDolNeto" fld="4" baseField="1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3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6" count="2">
            <x v="4"/>
            <x v="5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TablaDinámica3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3:G8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 defaultSubtotal="0">
      <items count="4">
        <item x="1"/>
        <item x="2"/>
        <item x="0"/>
        <item x="3"/>
      </items>
    </pivotField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alVtaDolNeto" fld="4" baseField="0" baseItem="0" numFmtId="3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TablaDiná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44:C51" firstHeaderRow="1" firstDataRow="1" firstDataCol="1"/>
  <pivotFields count="5">
    <pivotField showAll="0"/>
    <pivotField showAll="0"/>
    <pivotField axis="axisRow" showAll="0" sortType="descending">
      <items count="7">
        <item x="4"/>
        <item x="0"/>
        <item x="2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7">
    <i>
      <x v="5"/>
    </i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Suma de RealVtaDolNeto" fld="4" baseField="0" baseItem="0" numFmtId="3"/>
  </dataFields>
  <formats count="6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a3" displayName="Tabla3" ref="A1:G5" totalsRowShown="0">
  <autoFilter ref="A1:G5"/>
  <tableColumns count="7">
    <tableColumn id="1" name="DesMedio"/>
    <tableColumn id="2" name="DesZona"/>
    <tableColumn id="3" name="DesSeccion"/>
    <tableColumn id="4" name="consultoras"/>
    <tableColumn id="5" name="RealVtaDolNeto"/>
    <tableColumn id="6" name="Traducción"/>
    <tableColumn id="7" name="DesSecc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0"/>
  <sheetViews>
    <sheetView workbookViewId="0">
      <selection activeCell="B8" sqref="B8:C8"/>
    </sheetView>
  </sheetViews>
  <sheetFormatPr baseColWidth="10" defaultRowHeight="15" x14ac:dyDescent="0.25"/>
  <cols>
    <col min="2" max="3" width="13.5703125" bestFit="1" customWidth="1"/>
  </cols>
  <sheetData>
    <row r="3" spans="2:3" x14ac:dyDescent="0.25">
      <c r="B3" s="6" t="s">
        <v>21</v>
      </c>
      <c r="C3" s="6" t="s">
        <v>41</v>
      </c>
    </row>
    <row r="4" spans="2:3" x14ac:dyDescent="0.25">
      <c r="B4" s="2" t="s">
        <v>22</v>
      </c>
      <c r="C4" s="2" t="s">
        <v>22</v>
      </c>
    </row>
    <row r="5" spans="2:3" x14ac:dyDescent="0.25">
      <c r="B5" s="2" t="s">
        <v>23</v>
      </c>
      <c r="C5" s="2" t="s">
        <v>27</v>
      </c>
    </row>
    <row r="6" spans="2:3" x14ac:dyDescent="0.25">
      <c r="B6" s="2" t="s">
        <v>24</v>
      </c>
      <c r="C6" s="2" t="s">
        <v>24</v>
      </c>
    </row>
    <row r="7" spans="2:3" x14ac:dyDescent="0.25">
      <c r="B7" s="2" t="s">
        <v>31</v>
      </c>
      <c r="C7" s="2" t="s">
        <v>27</v>
      </c>
    </row>
    <row r="8" spans="2:3" x14ac:dyDescent="0.25">
      <c r="B8" s="2" t="s">
        <v>26</v>
      </c>
      <c r="C8" s="2" t="s">
        <v>26</v>
      </c>
    </row>
    <row r="9" spans="2:3" x14ac:dyDescent="0.25">
      <c r="B9" s="2" t="s">
        <v>27</v>
      </c>
      <c r="C9" s="2" t="s">
        <v>27</v>
      </c>
    </row>
    <row r="10" spans="2:3" x14ac:dyDescent="0.25">
      <c r="B10" s="2" t="s">
        <v>28</v>
      </c>
      <c r="C10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77"/>
  <sheetViews>
    <sheetView tabSelected="1" topLeftCell="A11" workbookViewId="0">
      <selection activeCell="B26" sqref="B26"/>
    </sheetView>
  </sheetViews>
  <sheetFormatPr baseColWidth="10" defaultRowHeight="15" x14ac:dyDescent="0.25"/>
  <cols>
    <col min="1" max="1" width="17.5703125" customWidth="1"/>
    <col min="2" max="2" width="23.5703125" customWidth="1"/>
    <col min="3" max="3" width="11.42578125" customWidth="1"/>
    <col min="4" max="4" width="23.5703125" customWidth="1"/>
    <col min="5" max="5" width="13" customWidth="1"/>
    <col min="6" max="6" width="5.28515625" customWidth="1"/>
    <col min="7" max="7" width="17.5703125" customWidth="1"/>
    <col min="8" max="8" width="23.5703125" customWidth="1"/>
    <col min="9" max="9" width="11.85546875" customWidth="1"/>
  </cols>
  <sheetData>
    <row r="1" spans="1:13" x14ac:dyDescent="0.25">
      <c r="A1">
        <v>201805</v>
      </c>
    </row>
    <row r="2" spans="1:13" ht="15.75" x14ac:dyDescent="0.25">
      <c r="A2" s="51" t="s">
        <v>43</v>
      </c>
      <c r="G2" s="51" t="s">
        <v>44</v>
      </c>
      <c r="M2" s="51" t="s">
        <v>49</v>
      </c>
    </row>
    <row r="4" spans="1:13" x14ac:dyDescent="0.25">
      <c r="A4" s="36" t="s">
        <v>39</v>
      </c>
      <c r="G4" s="36" t="s">
        <v>39</v>
      </c>
    </row>
    <row r="5" spans="1:13" x14ac:dyDescent="0.25">
      <c r="A5" s="30" t="s">
        <v>32</v>
      </c>
      <c r="B5" t="s">
        <v>34</v>
      </c>
      <c r="C5" s="36" t="s">
        <v>45</v>
      </c>
      <c r="D5" s="38" t="s">
        <v>36</v>
      </c>
      <c r="E5" s="38" t="s">
        <v>37</v>
      </c>
      <c r="F5" s="38"/>
      <c r="G5" s="30" t="s">
        <v>32</v>
      </c>
      <c r="H5" t="s">
        <v>34</v>
      </c>
      <c r="I5" t="s">
        <v>45</v>
      </c>
      <c r="J5" s="38" t="s">
        <v>36</v>
      </c>
      <c r="K5" s="38" t="s">
        <v>37</v>
      </c>
    </row>
    <row r="6" spans="1:13" x14ac:dyDescent="0.25">
      <c r="A6" s="31" t="s">
        <v>13</v>
      </c>
      <c r="B6" s="32">
        <v>39203.691810908742</v>
      </c>
      <c r="C6" s="37">
        <f>B6/$B$9</f>
        <v>9.4765020436630071E-2</v>
      </c>
      <c r="D6" s="41">
        <f>Chile!E37</f>
        <v>0.18495756511559847</v>
      </c>
      <c r="E6" s="50">
        <f>B6/Chile!C37</f>
        <v>31.015578964326536</v>
      </c>
      <c r="F6" s="40"/>
      <c r="G6" s="31" t="s">
        <v>13</v>
      </c>
      <c r="H6" s="32">
        <v>29189.02326691147</v>
      </c>
      <c r="I6" s="37">
        <f>H6/$H$9</f>
        <v>0.11680370769705566</v>
      </c>
      <c r="J6" s="41">
        <f>'CO Tabla Din'!C4</f>
        <v>7.4999999999999997E-2</v>
      </c>
      <c r="K6" s="40">
        <f>'CO Tabla Din'!D4</f>
        <v>16.324957084402389</v>
      </c>
    </row>
    <row r="7" spans="1:13" x14ac:dyDescent="0.25">
      <c r="A7" s="31" t="s">
        <v>14</v>
      </c>
      <c r="B7" s="32">
        <v>196743.57803313065</v>
      </c>
      <c r="C7" s="37">
        <f t="shared" ref="C7:C8" si="0">B7/$B$9</f>
        <v>0.47557789411805834</v>
      </c>
      <c r="D7" s="41">
        <f>Chile!E38</f>
        <v>0.28340404813243375</v>
      </c>
      <c r="E7" s="50">
        <f>B7/Chile!C38</f>
        <v>24.143278688566774</v>
      </c>
      <c r="F7" s="40"/>
      <c r="G7" s="31" t="s">
        <v>14</v>
      </c>
      <c r="H7" s="32">
        <v>156586.64767062664</v>
      </c>
      <c r="I7" s="37">
        <f t="shared" ref="I7:I8" si="1">H7/$H$9</f>
        <v>0.62660202284038236</v>
      </c>
      <c r="J7" s="41">
        <f>'CO Tabla Din'!C5</f>
        <v>0.14027010811671217</v>
      </c>
      <c r="K7" s="40">
        <f>'CO Tabla Din'!D5</f>
        <v>13.668527205885706</v>
      </c>
    </row>
    <row r="8" spans="1:13" x14ac:dyDescent="0.25">
      <c r="A8" s="31" t="s">
        <v>15</v>
      </c>
      <c r="B8" s="32">
        <v>177746.428846444</v>
      </c>
      <c r="C8" s="37">
        <f t="shared" si="0"/>
        <v>0.42965708544531156</v>
      </c>
      <c r="D8" s="41">
        <f>Chile!E39</f>
        <v>0.28065327669402401</v>
      </c>
      <c r="E8" s="50">
        <f>B8/Chile!C39</f>
        <v>26.119974848852902</v>
      </c>
      <c r="F8" s="40"/>
      <c r="G8" s="31" t="s">
        <v>15</v>
      </c>
      <c r="H8" s="32">
        <v>64122.417422950268</v>
      </c>
      <c r="I8" s="37">
        <f t="shared" si="1"/>
        <v>0.25659426946256192</v>
      </c>
      <c r="J8" s="41">
        <f>'CO Tabla Din'!C6</f>
        <v>7.5644783118405626E-2</v>
      </c>
      <c r="K8" s="40">
        <f>'CO Tabla Din'!D6</f>
        <v>12.42201034927359</v>
      </c>
    </row>
    <row r="9" spans="1:13" x14ac:dyDescent="0.25">
      <c r="A9" s="31" t="s">
        <v>33</v>
      </c>
      <c r="B9" s="32">
        <v>413693.6986904834</v>
      </c>
      <c r="C9" s="32"/>
      <c r="D9" s="32"/>
      <c r="E9" s="32"/>
      <c r="F9" s="32"/>
      <c r="G9" s="31" t="s">
        <v>33</v>
      </c>
      <c r="H9" s="32">
        <v>249898.08836048839</v>
      </c>
      <c r="I9" s="32"/>
      <c r="J9" s="32"/>
      <c r="K9" s="32"/>
      <c r="L9">
        <f>SUMPRODUCT(K6:K8,I6:I8)</f>
        <v>13.658958982738538</v>
      </c>
    </row>
    <row r="10" spans="1:13" x14ac:dyDescent="0.25">
      <c r="C10" s="55" t="str">
        <f>TRUNC(C6+C8,2)&amp;" Proviene de mobile/app"</f>
        <v>0.52 Proviene de mobile/app</v>
      </c>
      <c r="D10" s="36"/>
      <c r="E10" s="36"/>
      <c r="F10" s="36"/>
      <c r="G10" s="36"/>
      <c r="H10" s="36"/>
      <c r="I10" s="55" t="str">
        <f>TRUNC(I6+I8,2)&amp;" Proviene de mobile/app"</f>
        <v>0.37 Proviene de mobile/app</v>
      </c>
    </row>
    <row r="11" spans="1:13" x14ac:dyDescent="0.25">
      <c r="B11" s="31"/>
      <c r="C11" s="31"/>
      <c r="D11" s="31"/>
      <c r="E11" s="31"/>
      <c r="F11" s="31"/>
    </row>
    <row r="12" spans="1:13" x14ac:dyDescent="0.25">
      <c r="A12" s="36" t="s">
        <v>40</v>
      </c>
      <c r="D12" s="39"/>
      <c r="G12" s="36" t="s">
        <v>40</v>
      </c>
    </row>
    <row r="13" spans="1:13" x14ac:dyDescent="0.25">
      <c r="A13" s="30" t="s">
        <v>32</v>
      </c>
      <c r="B13" t="s">
        <v>34</v>
      </c>
      <c r="G13" s="30" t="s">
        <v>32</v>
      </c>
      <c r="H13" t="s">
        <v>34</v>
      </c>
    </row>
    <row r="14" spans="1:13" x14ac:dyDescent="0.25">
      <c r="A14" s="31" t="s">
        <v>5</v>
      </c>
      <c r="B14" s="39">
        <v>0.34098392458498139</v>
      </c>
      <c r="C14" s="39"/>
      <c r="G14" s="31" t="s">
        <v>5</v>
      </c>
      <c r="H14" s="39">
        <v>0.29021926453015762</v>
      </c>
    </row>
    <row r="15" spans="1:13" x14ac:dyDescent="0.25">
      <c r="A15" s="31" t="s">
        <v>7</v>
      </c>
      <c r="B15" s="39">
        <v>6.1519670565621583E-2</v>
      </c>
      <c r="C15" s="39"/>
      <c r="G15" s="31" t="s">
        <v>7</v>
      </c>
      <c r="H15" s="39">
        <v>7.1797753149280386E-2</v>
      </c>
    </row>
    <row r="16" spans="1:13" x14ac:dyDescent="0.25">
      <c r="A16" s="31" t="s">
        <v>8</v>
      </c>
      <c r="B16" s="39">
        <v>0.15007490160159309</v>
      </c>
      <c r="C16" s="39"/>
      <c r="G16" s="31" t="s">
        <v>8</v>
      </c>
      <c r="H16" s="39">
        <v>0.1753935409297547</v>
      </c>
    </row>
    <row r="17" spans="1:8" x14ac:dyDescent="0.25">
      <c r="A17" s="31" t="s">
        <v>19</v>
      </c>
      <c r="B17" s="39">
        <v>0.44742150324780383</v>
      </c>
      <c r="C17" s="39"/>
      <c r="G17" s="49" t="s">
        <v>29</v>
      </c>
      <c r="H17" s="39">
        <v>0.24109280847389297</v>
      </c>
    </row>
    <row r="18" spans="1:8" x14ac:dyDescent="0.25">
      <c r="A18" s="31" t="s">
        <v>33</v>
      </c>
      <c r="B18" s="39">
        <v>1</v>
      </c>
      <c r="C18" s="39"/>
      <c r="G18" s="49" t="s">
        <v>25</v>
      </c>
      <c r="H18" s="39">
        <v>0.21505707878818039</v>
      </c>
    </row>
    <row r="19" spans="1:8" x14ac:dyDescent="0.25">
      <c r="G19" s="31" t="s">
        <v>19</v>
      </c>
      <c r="H19" s="39">
        <v>6.4395541287339516E-3</v>
      </c>
    </row>
    <row r="20" spans="1:8" x14ac:dyDescent="0.25">
      <c r="G20" s="31" t="s">
        <v>33</v>
      </c>
      <c r="H20" s="39">
        <v>1</v>
      </c>
    </row>
    <row r="21" spans="1:8" x14ac:dyDescent="0.25">
      <c r="C21" s="39"/>
    </row>
    <row r="22" spans="1:8" x14ac:dyDescent="0.25">
      <c r="A22" s="36" t="s">
        <v>46</v>
      </c>
      <c r="D22" s="39"/>
      <c r="G22" s="36" t="s">
        <v>46</v>
      </c>
    </row>
    <row r="23" spans="1:8" x14ac:dyDescent="0.25">
      <c r="A23" s="30" t="s">
        <v>41</v>
      </c>
      <c r="B23" t="s">
        <v>47</v>
      </c>
      <c r="D23" s="39"/>
      <c r="G23" s="30" t="s">
        <v>41</v>
      </c>
      <c r="H23" t="s">
        <v>48</v>
      </c>
    </row>
    <row r="24" spans="1:8" x14ac:dyDescent="0.25">
      <c r="A24" s="36"/>
      <c r="D24" s="39"/>
      <c r="G24" s="36"/>
    </row>
    <row r="25" spans="1:8" x14ac:dyDescent="0.25">
      <c r="A25" s="30" t="s">
        <v>32</v>
      </c>
      <c r="B25" t="s">
        <v>34</v>
      </c>
      <c r="G25" s="30" t="s">
        <v>32</v>
      </c>
      <c r="H25" t="s">
        <v>34</v>
      </c>
    </row>
    <row r="26" spans="1:8" x14ac:dyDescent="0.25">
      <c r="A26" s="31" t="s">
        <v>5</v>
      </c>
      <c r="B26" s="39">
        <v>0.34098392458498139</v>
      </c>
      <c r="C26" s="39"/>
      <c r="G26" s="31" t="s">
        <v>5</v>
      </c>
      <c r="H26" s="39">
        <v>0.51327613799355254</v>
      </c>
    </row>
    <row r="27" spans="1:8" x14ac:dyDescent="0.25">
      <c r="A27" s="31" t="s">
        <v>7</v>
      </c>
      <c r="B27" s="39">
        <v>6.1519670565621583E-2</v>
      </c>
      <c r="C27" s="39"/>
      <c r="G27" s="31" t="s">
        <v>7</v>
      </c>
      <c r="H27" s="39">
        <v>9.9724940797122699E-2</v>
      </c>
    </row>
    <row r="28" spans="1:8" x14ac:dyDescent="0.25">
      <c r="A28" s="31" t="s">
        <v>8</v>
      </c>
      <c r="B28" s="39">
        <v>0.15007490160159309</v>
      </c>
      <c r="C28" s="39"/>
      <c r="G28" s="31" t="s">
        <v>8</v>
      </c>
      <c r="H28" s="39">
        <v>0.37329349261236072</v>
      </c>
    </row>
    <row r="29" spans="1:8" x14ac:dyDescent="0.25">
      <c r="A29" s="31" t="s">
        <v>19</v>
      </c>
      <c r="B29" s="39">
        <v>0.44742150324780383</v>
      </c>
      <c r="C29" s="39"/>
      <c r="G29" s="31" t="s">
        <v>19</v>
      </c>
      <c r="H29" s="39">
        <v>1.3705428596964046E-2</v>
      </c>
    </row>
    <row r="30" spans="1:8" x14ac:dyDescent="0.25">
      <c r="A30" s="31" t="s">
        <v>33</v>
      </c>
      <c r="B30" s="39">
        <v>1</v>
      </c>
      <c r="C30" s="39"/>
      <c r="G30" s="31" t="s">
        <v>33</v>
      </c>
      <c r="H30" s="39">
        <v>1</v>
      </c>
    </row>
    <row r="32" spans="1:8" x14ac:dyDescent="0.25">
      <c r="A32" s="45"/>
      <c r="B32" s="46"/>
      <c r="C32" s="46"/>
      <c r="D32" s="44"/>
    </row>
    <row r="33" spans="1:8" x14ac:dyDescent="0.25">
      <c r="A33" s="47"/>
      <c r="B33" s="46"/>
      <c r="C33" s="46"/>
      <c r="D33" s="44"/>
      <c r="G33" s="36"/>
    </row>
    <row r="34" spans="1:8" x14ac:dyDescent="0.25">
      <c r="A34" s="30" t="s">
        <v>32</v>
      </c>
      <c r="B34" t="s">
        <v>34</v>
      </c>
      <c r="C34" s="46"/>
      <c r="D34" s="44"/>
      <c r="G34" s="30" t="s">
        <v>32</v>
      </c>
      <c r="H34" t="s">
        <v>34</v>
      </c>
    </row>
    <row r="35" spans="1:8" x14ac:dyDescent="0.25">
      <c r="A35" s="31" t="s">
        <v>22</v>
      </c>
      <c r="B35" s="39"/>
      <c r="C35" s="46"/>
      <c r="D35" s="44"/>
      <c r="G35" s="31" t="s">
        <v>22</v>
      </c>
      <c r="H35" s="39"/>
    </row>
    <row r="36" spans="1:8" x14ac:dyDescent="0.25">
      <c r="A36" s="43" t="s">
        <v>5</v>
      </c>
      <c r="B36" s="39">
        <v>0.82958041046786846</v>
      </c>
      <c r="C36" s="46"/>
      <c r="D36" s="44"/>
      <c r="G36" s="43" t="s">
        <v>5</v>
      </c>
      <c r="H36" s="39">
        <v>0.79753926507563522</v>
      </c>
    </row>
    <row r="37" spans="1:8" x14ac:dyDescent="0.25">
      <c r="A37" s="43" t="s">
        <v>8</v>
      </c>
      <c r="B37" s="39">
        <v>0.10941393487730949</v>
      </c>
      <c r="C37" s="46"/>
      <c r="D37" s="48"/>
      <c r="E37" s="37"/>
      <c r="G37" s="43" t="s">
        <v>7</v>
      </c>
      <c r="H37" s="39">
        <v>4.6095005214136751E-2</v>
      </c>
    </row>
    <row r="38" spans="1:8" x14ac:dyDescent="0.25">
      <c r="A38" s="43" t="s">
        <v>7</v>
      </c>
      <c r="B38" s="39">
        <v>6.1005654654822064E-2</v>
      </c>
      <c r="C38" s="46"/>
      <c r="D38" s="48"/>
      <c r="G38" s="43" t="s">
        <v>8</v>
      </c>
      <c r="H38" s="39">
        <v>0.15636572971022805</v>
      </c>
    </row>
    <row r="39" spans="1:8" x14ac:dyDescent="0.25">
      <c r="A39" s="31" t="s">
        <v>24</v>
      </c>
      <c r="B39" s="39"/>
      <c r="C39" s="46"/>
      <c r="D39" s="48"/>
      <c r="G39" s="31" t="s">
        <v>24</v>
      </c>
      <c r="H39" s="39"/>
    </row>
    <row r="40" spans="1:8" x14ac:dyDescent="0.25">
      <c r="A40" s="43" t="s">
        <v>8</v>
      </c>
      <c r="B40" s="39">
        <v>1</v>
      </c>
      <c r="C40" s="44"/>
      <c r="D40" s="44"/>
      <c r="G40" s="43" t="s">
        <v>8</v>
      </c>
      <c r="H40" s="39">
        <v>1</v>
      </c>
    </row>
    <row r="41" spans="1:8" x14ac:dyDescent="0.25">
      <c r="A41" s="31" t="s">
        <v>27</v>
      </c>
      <c r="B41" s="39"/>
      <c r="C41" s="44"/>
      <c r="D41" s="44"/>
      <c r="G41" s="31" t="s">
        <v>27</v>
      </c>
      <c r="H41" s="39"/>
    </row>
    <row r="42" spans="1:8" x14ac:dyDescent="0.25">
      <c r="A42" s="43" t="s">
        <v>19</v>
      </c>
      <c r="B42" s="39">
        <v>0.78396453755145912</v>
      </c>
      <c r="C42" s="44"/>
      <c r="D42" s="44"/>
      <c r="G42" s="43" t="s">
        <v>5</v>
      </c>
      <c r="H42" s="39">
        <v>0.38239528332786948</v>
      </c>
    </row>
    <row r="43" spans="1:8" x14ac:dyDescent="0.25">
      <c r="A43" s="43" t="s">
        <v>7</v>
      </c>
      <c r="B43" s="39">
        <v>9.3293606971487322E-2</v>
      </c>
      <c r="C43" s="44"/>
      <c r="D43" s="44"/>
      <c r="G43" s="43" t="s">
        <v>7</v>
      </c>
      <c r="H43" s="39">
        <v>0.16247284509403562</v>
      </c>
    </row>
    <row r="44" spans="1:8" x14ac:dyDescent="0.25">
      <c r="A44" s="43" t="s">
        <v>8</v>
      </c>
      <c r="B44" s="39">
        <v>6.7139313929159672E-2</v>
      </c>
      <c r="G44" s="43" t="s">
        <v>8</v>
      </c>
      <c r="H44" s="39">
        <v>0.4276715200413182</v>
      </c>
    </row>
    <row r="45" spans="1:8" x14ac:dyDescent="0.25">
      <c r="A45" s="43" t="s">
        <v>5</v>
      </c>
      <c r="B45" s="39">
        <v>5.5602541547893895E-2</v>
      </c>
      <c r="G45" s="43" t="s">
        <v>19</v>
      </c>
      <c r="H45" s="39">
        <v>2.7460351536776683E-2</v>
      </c>
    </row>
    <row r="46" spans="1:8" x14ac:dyDescent="0.25">
      <c r="A46" s="31" t="s">
        <v>26</v>
      </c>
      <c r="B46" s="39"/>
      <c r="G46" s="31" t="s">
        <v>33</v>
      </c>
      <c r="H46" s="39">
        <v>1</v>
      </c>
    </row>
    <row r="47" spans="1:8" x14ac:dyDescent="0.25">
      <c r="A47" s="43" t="s">
        <v>5</v>
      </c>
      <c r="B47" s="39">
        <v>1</v>
      </c>
    </row>
    <row r="48" spans="1:8" x14ac:dyDescent="0.25">
      <c r="A48" s="31" t="s">
        <v>33</v>
      </c>
      <c r="B48" s="39">
        <v>1</v>
      </c>
    </row>
    <row r="49" spans="1:2" x14ac:dyDescent="0.25">
      <c r="A49" s="43"/>
      <c r="B49" s="39"/>
    </row>
    <row r="50" spans="1:2" x14ac:dyDescent="0.25">
      <c r="A50" s="30" t="s">
        <v>32</v>
      </c>
      <c r="B50" t="s">
        <v>34</v>
      </c>
    </row>
    <row r="51" spans="1:2" x14ac:dyDescent="0.25">
      <c r="A51" s="31" t="s">
        <v>19</v>
      </c>
      <c r="B51" s="39"/>
    </row>
    <row r="52" spans="1:2" x14ac:dyDescent="0.25">
      <c r="A52" s="43" t="s">
        <v>31</v>
      </c>
      <c r="B52" s="39">
        <v>1</v>
      </c>
    </row>
    <row r="53" spans="1:2" x14ac:dyDescent="0.25">
      <c r="A53" s="31" t="s">
        <v>5</v>
      </c>
      <c r="B53" s="39"/>
    </row>
    <row r="54" spans="1:2" x14ac:dyDescent="0.25">
      <c r="A54" s="43" t="s">
        <v>26</v>
      </c>
      <c r="B54" s="39">
        <v>0.57691091363455993</v>
      </c>
    </row>
    <row r="55" spans="1:2" x14ac:dyDescent="0.25">
      <c r="A55" s="43" t="s">
        <v>22</v>
      </c>
      <c r="B55" s="39">
        <v>0.33002520253166029</v>
      </c>
    </row>
    <row r="56" spans="1:2" x14ac:dyDescent="0.25">
      <c r="A56" s="43" t="s">
        <v>23</v>
      </c>
      <c r="B56" s="39">
        <v>9.306388383377967E-2</v>
      </c>
    </row>
    <row r="57" spans="1:2" x14ac:dyDescent="0.25">
      <c r="A57" s="31" t="s">
        <v>8</v>
      </c>
      <c r="B57" s="39"/>
    </row>
    <row r="58" spans="1:2" x14ac:dyDescent="0.25">
      <c r="A58" s="43" t="s">
        <v>22</v>
      </c>
      <c r="B58" s="39">
        <v>9.8897905209828579E-2</v>
      </c>
    </row>
    <row r="59" spans="1:2" x14ac:dyDescent="0.25">
      <c r="A59" s="43" t="s">
        <v>24</v>
      </c>
      <c r="B59" s="39">
        <v>0.64577948998029699</v>
      </c>
    </row>
    <row r="60" spans="1:2" x14ac:dyDescent="0.25">
      <c r="A60" s="43" t="s">
        <v>23</v>
      </c>
      <c r="B60" s="39">
        <v>0.25532260480987451</v>
      </c>
    </row>
    <row r="61" spans="1:2" x14ac:dyDescent="0.25">
      <c r="A61" s="31" t="s">
        <v>7</v>
      </c>
      <c r="B61" s="39"/>
    </row>
    <row r="62" spans="1:2" x14ac:dyDescent="0.25">
      <c r="A62" s="43" t="s">
        <v>22</v>
      </c>
      <c r="B62" s="39">
        <v>0.13451744624690817</v>
      </c>
    </row>
    <row r="63" spans="1:2" x14ac:dyDescent="0.25">
      <c r="A63" s="43" t="s">
        <v>27</v>
      </c>
      <c r="B63" s="39">
        <v>0.13605900298892695</v>
      </c>
    </row>
    <row r="64" spans="1:2" x14ac:dyDescent="0.25">
      <c r="A64" s="43" t="s">
        <v>23</v>
      </c>
      <c r="B64" s="39">
        <v>0.72942355076416487</v>
      </c>
    </row>
    <row r="65" spans="1:3" x14ac:dyDescent="0.25">
      <c r="A65" s="31" t="s">
        <v>33</v>
      </c>
      <c r="B65" s="39">
        <v>1</v>
      </c>
    </row>
    <row r="69" spans="1:3" x14ac:dyDescent="0.25">
      <c r="A69" s="36" t="s">
        <v>50</v>
      </c>
    </row>
    <row r="70" spans="1:3" x14ac:dyDescent="0.25">
      <c r="A70" s="30" t="s">
        <v>41</v>
      </c>
      <c r="B70" t="s">
        <v>48</v>
      </c>
    </row>
    <row r="71" spans="1:3" x14ac:dyDescent="0.25">
      <c r="A71" s="36"/>
    </row>
    <row r="72" spans="1:3" x14ac:dyDescent="0.25">
      <c r="A72" s="30" t="s">
        <v>32</v>
      </c>
      <c r="B72" t="s">
        <v>34</v>
      </c>
    </row>
    <row r="73" spans="1:3" x14ac:dyDescent="0.25">
      <c r="A73" s="31" t="s">
        <v>5</v>
      </c>
      <c r="B73" s="39">
        <v>0.17959628116335888</v>
      </c>
      <c r="C73" s="39"/>
    </row>
    <row r="74" spans="1:3" x14ac:dyDescent="0.25">
      <c r="A74" s="31" t="s">
        <v>7</v>
      </c>
      <c r="B74" s="39">
        <v>7.6585334404561625E-2</v>
      </c>
      <c r="C74" s="39"/>
    </row>
    <row r="75" spans="1:3" x14ac:dyDescent="0.25">
      <c r="A75" s="31" t="s">
        <v>8</v>
      </c>
      <c r="B75" s="39">
        <v>0.18682701677717542</v>
      </c>
      <c r="C75" s="39"/>
    </row>
    <row r="76" spans="1:3" x14ac:dyDescent="0.25">
      <c r="A76" s="31" t="s">
        <v>19</v>
      </c>
      <c r="B76" s="39">
        <v>0.55699136765490398</v>
      </c>
      <c r="C76" s="39"/>
    </row>
    <row r="77" spans="1:3" x14ac:dyDescent="0.25">
      <c r="A77" s="31" t="s">
        <v>33</v>
      </c>
      <c r="B77" s="39">
        <v>1</v>
      </c>
      <c r="C77" s="39"/>
    </row>
  </sheetData>
  <conditionalFormatting pivot="1" sqref="B6:B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{B8AF3B60-4C2D-4F62-8A09-6967DC135B7D}</x14:id>
        </ext>
      </extLst>
    </cfRule>
  </conditionalFormatting>
  <conditionalFormatting sqref="D6:D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{A91E13C4-D0F3-4786-B96F-CCA7984C71E6}</x14:id>
        </ext>
      </extLst>
    </cfRule>
  </conditionalFormatting>
  <conditionalFormatting sqref="J6:J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{C075E27D-F3A3-449D-A0FE-DC337219A0B5}</x14:id>
        </ext>
      </extLst>
    </cfRule>
  </conditionalFormatting>
  <conditionalFormatting pivot="1" sqref="H6:H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{EF550E3E-F6C9-46B5-AA6D-F90E67C6F452}</x14:id>
        </ext>
      </extLst>
    </cfRule>
  </conditionalFormatting>
  <conditionalFormatting sqref="C6:C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{E6DB0165-807A-4E30-9F53-21FC4EAA6EB1}</x14:id>
        </ext>
      </extLst>
    </cfRule>
  </conditionalFormatting>
  <conditionalFormatting sqref="I6:I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{7B8FA6C6-7AC2-46FD-9F89-2F3BA66FF7FA}</x14:id>
        </ext>
      </extLst>
    </cfRule>
  </conditionalFormatting>
  <conditionalFormatting pivot="1" sqref="H14:H19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{1DD6C62A-86AE-468A-98EB-479843A216E7}</x14:id>
        </ext>
      </extLst>
    </cfRule>
  </conditionalFormatting>
  <conditionalFormatting pivot="1" sqref="B14:B1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{B231B45C-4D54-4607-813A-AAC91ADC6791}</x14:id>
        </ext>
      </extLst>
    </cfRule>
  </conditionalFormatting>
  <conditionalFormatting pivot="1" sqref="H26:H2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{69E2831F-781D-48CB-A48A-F8CE975167C9}</x14:id>
        </ext>
      </extLst>
    </cfRule>
  </conditionalFormatting>
  <conditionalFormatting pivot="1" sqref="B26:B2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{5FCDF1C8-908A-492C-8118-E2B6F8B026EC}</x14:id>
        </ext>
      </extLst>
    </cfRule>
  </conditionalFormatting>
  <conditionalFormatting pivot="1" sqref="H36:H38 H40 H42:H4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{F97FBD53-DAFE-4E0A-8FE8-F10EFA7DB068}</x14:id>
        </ext>
      </extLst>
    </cfRule>
  </conditionalFormatting>
  <conditionalFormatting pivot="1" sqref="B73:B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{02EDEABF-E73E-42A1-B399-9B16A9537F90}</x14:id>
        </ext>
      </extLst>
    </cfRule>
  </conditionalFormatting>
  <pageMargins left="0.7" right="0.7" top="0.75" bottom="0.75" header="0.3" footer="0.3"/>
  <pageSetup paperSize="9" orientation="portrait"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8AF3B60-4C2D-4F62-8A09-6967DC135B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B6:B8</xm:sqref>
        </x14:conditionalFormatting>
        <x14:conditionalFormatting xmlns:xm="http://schemas.microsoft.com/office/excel/2006/main">
          <x14:cfRule type="dataBar" id="{A91E13C4-D0F3-4786-B96F-CCA7984C7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D6:D8</xm:sqref>
        </x14:conditionalFormatting>
        <x14:conditionalFormatting xmlns:xm="http://schemas.microsoft.com/office/excel/2006/main">
          <x14:cfRule type="dataBar" id="{C075E27D-F3A3-449D-A0FE-DC337219A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J6:J8</xm:sqref>
        </x14:conditionalFormatting>
        <x14:conditionalFormatting xmlns:xm="http://schemas.microsoft.com/office/excel/2006/main" pivot="1">
          <x14:cfRule type="dataBar" id="{EF550E3E-F6C9-46B5-AA6D-F90E67C6F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H6:H8</xm:sqref>
        </x14:conditionalFormatting>
        <x14:conditionalFormatting xmlns:xm="http://schemas.microsoft.com/office/excel/2006/main">
          <x14:cfRule type="dataBar" id="{E6DB0165-807A-4E30-9F53-21FC4EAA6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C6:C8</xm:sqref>
        </x14:conditionalFormatting>
        <x14:conditionalFormatting xmlns:xm="http://schemas.microsoft.com/office/excel/2006/main">
          <x14:cfRule type="dataBar" id="{7B8FA6C6-7AC2-46FD-9F89-2F3BA66FF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I6:I8</xm:sqref>
        </x14:conditionalFormatting>
        <x14:conditionalFormatting xmlns:xm="http://schemas.microsoft.com/office/excel/2006/main" pivot="1">
          <x14:cfRule type="dataBar" id="{1DD6C62A-86AE-468A-98EB-479843A216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H14:H19</xm:sqref>
        </x14:conditionalFormatting>
        <x14:conditionalFormatting xmlns:xm="http://schemas.microsoft.com/office/excel/2006/main" pivot="1">
          <x14:cfRule type="dataBar" id="{B231B45C-4D54-4607-813A-AAC91ADC67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B14:B17</xm:sqref>
        </x14:conditionalFormatting>
        <x14:conditionalFormatting xmlns:xm="http://schemas.microsoft.com/office/excel/2006/main" pivot="1">
          <x14:cfRule type="dataBar" id="{69E2831F-781D-48CB-A48A-F8CE975167C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H26:H29</xm:sqref>
        </x14:conditionalFormatting>
        <x14:conditionalFormatting xmlns:xm="http://schemas.microsoft.com/office/excel/2006/main" pivot="1">
          <x14:cfRule type="dataBar" id="{5FCDF1C8-908A-492C-8118-E2B6F8B026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B26:B29</xm:sqref>
        </x14:conditionalFormatting>
        <x14:conditionalFormatting xmlns:xm="http://schemas.microsoft.com/office/excel/2006/main" pivot="1">
          <x14:cfRule type="dataBar" id="{F97FBD53-DAFE-4E0A-8FE8-F10EFA7DB0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H36:H38 H40 H42:H45</xm:sqref>
        </x14:conditionalFormatting>
        <x14:conditionalFormatting xmlns:xm="http://schemas.microsoft.com/office/excel/2006/main" pivot="1">
          <x14:cfRule type="dataBar" id="{02EDEABF-E73E-42A1-B399-9B16A9537F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B73:B76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2"/>
  <sheetViews>
    <sheetView workbookViewId="0">
      <selection activeCell="C1" sqref="C1"/>
    </sheetView>
  </sheetViews>
  <sheetFormatPr baseColWidth="10" defaultRowHeight="15" x14ac:dyDescent="0.25"/>
  <cols>
    <col min="1" max="1" width="17.5703125" customWidth="1"/>
    <col min="2" max="3" width="23.5703125" customWidth="1"/>
    <col min="4" max="4" width="13" customWidth="1"/>
    <col min="5" max="5" width="5.28515625" customWidth="1"/>
    <col min="6" max="6" width="17.5703125" customWidth="1"/>
    <col min="7" max="7" width="23.5703125" customWidth="1"/>
    <col min="8" max="8" width="6.5703125" customWidth="1"/>
    <col min="9" max="9" width="17.5703125" customWidth="1"/>
    <col min="10" max="10" width="23.5703125" customWidth="1"/>
    <col min="11" max="11" width="12.5703125" customWidth="1"/>
    <col min="12" max="12" width="13.5703125" customWidth="1"/>
    <col min="13" max="13" width="12.5703125" bestFit="1" customWidth="1"/>
  </cols>
  <sheetData>
    <row r="2" spans="1:11" x14ac:dyDescent="0.25">
      <c r="A2" s="36" t="s">
        <v>39</v>
      </c>
      <c r="I2" s="30" t="s">
        <v>32</v>
      </c>
      <c r="J2" t="s">
        <v>34</v>
      </c>
    </row>
    <row r="3" spans="1:11" x14ac:dyDescent="0.25">
      <c r="A3" s="30" t="s">
        <v>32</v>
      </c>
      <c r="B3" t="s">
        <v>34</v>
      </c>
      <c r="C3" s="38" t="s">
        <v>36</v>
      </c>
      <c r="D3" s="38" t="s">
        <v>37</v>
      </c>
      <c r="E3" s="38"/>
      <c r="F3" s="30" t="s">
        <v>32</v>
      </c>
      <c r="G3" t="s">
        <v>34</v>
      </c>
      <c r="I3" s="31" t="s">
        <v>26</v>
      </c>
      <c r="J3" s="32">
        <v>81380.727070212306</v>
      </c>
      <c r="K3" t="s">
        <v>26</v>
      </c>
    </row>
    <row r="4" spans="1:11" x14ac:dyDescent="0.25">
      <c r="A4" s="31" t="s">
        <v>13</v>
      </c>
      <c r="B4" s="32">
        <v>39203.691810908742</v>
      </c>
      <c r="C4" s="41">
        <f>Chile!E37</f>
        <v>0.18495756511559847</v>
      </c>
      <c r="D4" s="50">
        <f>B4/Chile!D37</f>
        <v>5.736565965892412</v>
      </c>
      <c r="E4" s="40"/>
      <c r="F4" s="31" t="s">
        <v>22</v>
      </c>
      <c r="G4" s="32">
        <v>56117.902339696899</v>
      </c>
      <c r="I4" s="31" t="s">
        <v>22</v>
      </c>
      <c r="J4" s="32">
        <v>56117.902339696899</v>
      </c>
      <c r="K4" t="s">
        <v>38</v>
      </c>
    </row>
    <row r="5" spans="1:11" x14ac:dyDescent="0.25">
      <c r="A5" s="31" t="s">
        <v>14</v>
      </c>
      <c r="B5" s="32">
        <v>196743.57803313065</v>
      </c>
      <c r="C5" s="41">
        <f>Chile!E38</f>
        <v>0.28340404813243375</v>
      </c>
      <c r="D5" s="50">
        <f>B5/Chile!D38</f>
        <v>6.8423029155293404</v>
      </c>
      <c r="E5" s="40"/>
      <c r="F5" s="31" t="s">
        <v>24</v>
      </c>
      <c r="G5" s="32">
        <v>40093.246192574465</v>
      </c>
      <c r="I5" s="31" t="s">
        <v>24</v>
      </c>
      <c r="J5" s="32">
        <v>40093.246192574465</v>
      </c>
      <c r="K5" t="s">
        <v>38</v>
      </c>
    </row>
    <row r="6" spans="1:11" x14ac:dyDescent="0.25">
      <c r="A6" s="31" t="s">
        <v>15</v>
      </c>
      <c r="B6" s="32">
        <v>177746.428846444</v>
      </c>
      <c r="C6" s="41">
        <f>Chile!E39</f>
        <v>0.28065327669402401</v>
      </c>
      <c r="D6" s="50">
        <f>B6/Chile!D39</f>
        <v>7.3306565284960614</v>
      </c>
      <c r="E6" s="40"/>
      <c r="F6" s="31" t="s">
        <v>27</v>
      </c>
      <c r="G6" s="32">
        <v>236101.82308799971</v>
      </c>
      <c r="I6" s="31" t="s">
        <v>27</v>
      </c>
      <c r="J6" s="32">
        <v>3462.7424517301802</v>
      </c>
      <c r="K6" t="s">
        <v>51</v>
      </c>
    </row>
    <row r="7" spans="1:11" x14ac:dyDescent="0.25">
      <c r="A7" s="31" t="s">
        <v>33</v>
      </c>
      <c r="B7" s="32">
        <v>413693.6986904834</v>
      </c>
      <c r="C7" s="32"/>
      <c r="D7" s="32"/>
      <c r="E7" s="32"/>
      <c r="F7" s="31" t="s">
        <v>26</v>
      </c>
      <c r="G7" s="32">
        <v>81380.727070212306</v>
      </c>
      <c r="I7" s="31" t="s">
        <v>23</v>
      </c>
      <c r="J7" s="32">
        <v>47543.624084029434</v>
      </c>
      <c r="K7" t="s">
        <v>51</v>
      </c>
    </row>
    <row r="8" spans="1:11" x14ac:dyDescent="0.25">
      <c r="F8" s="31" t="s">
        <v>33</v>
      </c>
      <c r="G8" s="32">
        <v>413693.6986904834</v>
      </c>
      <c r="I8" s="31" t="s">
        <v>31</v>
      </c>
      <c r="J8" s="32">
        <v>185095.45655224012</v>
      </c>
      <c r="K8" t="s">
        <v>51</v>
      </c>
    </row>
    <row r="9" spans="1:11" x14ac:dyDescent="0.25">
      <c r="B9" s="31"/>
      <c r="C9" s="31"/>
      <c r="D9" s="31"/>
      <c r="E9" s="31"/>
      <c r="I9" s="31" t="s">
        <v>33</v>
      </c>
      <c r="J9" s="32">
        <v>413693.6986904834</v>
      </c>
    </row>
    <row r="10" spans="1:11" x14ac:dyDescent="0.25">
      <c r="A10" s="36" t="s">
        <v>40</v>
      </c>
      <c r="C10" s="39"/>
    </row>
    <row r="11" spans="1:11" x14ac:dyDescent="0.25">
      <c r="A11" s="30" t="s">
        <v>32</v>
      </c>
      <c r="B11" t="s">
        <v>34</v>
      </c>
    </row>
    <row r="12" spans="1:11" x14ac:dyDescent="0.25">
      <c r="A12" s="31" t="s">
        <v>19</v>
      </c>
      <c r="B12" s="39">
        <v>0.44742150324780383</v>
      </c>
    </row>
    <row r="13" spans="1:11" x14ac:dyDescent="0.25">
      <c r="A13" s="31" t="s">
        <v>5</v>
      </c>
      <c r="B13" s="39">
        <v>0.34098392458498139</v>
      </c>
      <c r="F13" s="30" t="s">
        <v>34</v>
      </c>
      <c r="G13" s="30" t="s">
        <v>35</v>
      </c>
    </row>
    <row r="14" spans="1:11" x14ac:dyDescent="0.25">
      <c r="A14" s="31" t="s">
        <v>8</v>
      </c>
      <c r="B14" s="39">
        <v>0.15007490160159309</v>
      </c>
      <c r="F14" s="30" t="s">
        <v>32</v>
      </c>
      <c r="G14" t="s">
        <v>5</v>
      </c>
      <c r="H14" t="s">
        <v>7</v>
      </c>
      <c r="I14" t="s">
        <v>8</v>
      </c>
      <c r="J14" t="s">
        <v>19</v>
      </c>
      <c r="K14" t="s">
        <v>33</v>
      </c>
    </row>
    <row r="15" spans="1:11" x14ac:dyDescent="0.25">
      <c r="A15" s="31" t="s">
        <v>7</v>
      </c>
      <c r="B15" s="39">
        <v>6.1519670565621583E-2</v>
      </c>
      <c r="F15" s="31" t="s">
        <v>22</v>
      </c>
      <c r="G15" s="32">
        <v>46554.312457561507</v>
      </c>
      <c r="H15" s="32">
        <v>3423.50937008858</v>
      </c>
      <c r="I15" s="32">
        <v>6140.0805120468103</v>
      </c>
      <c r="J15" s="32"/>
      <c r="K15" s="32">
        <v>56117.902339696899</v>
      </c>
    </row>
    <row r="16" spans="1:11" x14ac:dyDescent="0.25">
      <c r="A16" s="31" t="s">
        <v>33</v>
      </c>
      <c r="B16" s="39">
        <v>1</v>
      </c>
      <c r="F16" s="31" t="s">
        <v>24</v>
      </c>
      <c r="G16" s="32"/>
      <c r="H16" s="32"/>
      <c r="I16" s="32">
        <v>40093.246192574465</v>
      </c>
      <c r="J16" s="32"/>
      <c r="K16" s="32">
        <v>40093.246192574465</v>
      </c>
    </row>
    <row r="17" spans="1:11" x14ac:dyDescent="0.25">
      <c r="F17" s="31" t="s">
        <v>27</v>
      </c>
      <c r="G17" s="32">
        <v>13127.861427784001</v>
      </c>
      <c r="H17" s="32">
        <v>22026.79068842348</v>
      </c>
      <c r="I17" s="32">
        <v>15851.714419552134</v>
      </c>
      <c r="J17" s="32">
        <v>185095.45655224012</v>
      </c>
      <c r="K17" s="32">
        <v>236101.82308799974</v>
      </c>
    </row>
    <row r="18" spans="1:11" x14ac:dyDescent="0.25">
      <c r="A18" s="30" t="s">
        <v>32</v>
      </c>
      <c r="B18" t="s">
        <v>34</v>
      </c>
      <c r="F18" s="31" t="s">
        <v>26</v>
      </c>
      <c r="G18" s="32">
        <v>81380.727070212306</v>
      </c>
      <c r="H18" s="32"/>
      <c r="I18" s="32"/>
      <c r="J18" s="32"/>
      <c r="K18" s="32">
        <v>81380.727070212306</v>
      </c>
    </row>
    <row r="19" spans="1:11" x14ac:dyDescent="0.25">
      <c r="A19" s="31" t="s">
        <v>22</v>
      </c>
      <c r="B19" s="39"/>
      <c r="F19" s="31" t="s">
        <v>33</v>
      </c>
      <c r="G19" s="32">
        <v>141062.90095555782</v>
      </c>
      <c r="H19" s="32">
        <v>25450.300058512061</v>
      </c>
      <c r="I19" s="32">
        <v>62085.041124173404</v>
      </c>
      <c r="J19" s="32">
        <v>185095.45655224012</v>
      </c>
      <c r="K19" s="32">
        <v>413693.6986904834</v>
      </c>
    </row>
    <row r="20" spans="1:11" x14ac:dyDescent="0.25">
      <c r="A20" s="43" t="s">
        <v>5</v>
      </c>
      <c r="B20" s="39">
        <v>0.82958041046786846</v>
      </c>
    </row>
    <row r="21" spans="1:11" x14ac:dyDescent="0.25">
      <c r="A21" s="43" t="s">
        <v>8</v>
      </c>
      <c r="B21" s="39">
        <v>0.10941393487730949</v>
      </c>
    </row>
    <row r="22" spans="1:11" x14ac:dyDescent="0.25">
      <c r="A22" s="43" t="s">
        <v>7</v>
      </c>
      <c r="B22" s="39">
        <v>6.1005654654822064E-2</v>
      </c>
      <c r="J22" s="36"/>
    </row>
    <row r="23" spans="1:11" x14ac:dyDescent="0.25">
      <c r="A23" s="31" t="s">
        <v>24</v>
      </c>
      <c r="B23" s="39"/>
      <c r="J23" s="36"/>
    </row>
    <row r="24" spans="1:11" x14ac:dyDescent="0.25">
      <c r="A24" s="43" t="s">
        <v>8</v>
      </c>
      <c r="B24" s="39">
        <v>1</v>
      </c>
    </row>
    <row r="25" spans="1:11" x14ac:dyDescent="0.25">
      <c r="A25" s="31" t="s">
        <v>27</v>
      </c>
      <c r="B25" s="39"/>
      <c r="C25" s="44"/>
    </row>
    <row r="26" spans="1:11" x14ac:dyDescent="0.25">
      <c r="A26" s="43" t="s">
        <v>19</v>
      </c>
      <c r="B26" s="39">
        <v>0.78396453755145912</v>
      </c>
      <c r="C26" s="44"/>
    </row>
    <row r="27" spans="1:11" x14ac:dyDescent="0.25">
      <c r="A27" s="43" t="s">
        <v>7</v>
      </c>
      <c r="B27" s="39">
        <v>9.3293606971487322E-2</v>
      </c>
      <c r="C27" s="44"/>
    </row>
    <row r="28" spans="1:11" x14ac:dyDescent="0.25">
      <c r="A28" s="43" t="s">
        <v>8</v>
      </c>
      <c r="B28" s="39">
        <v>6.7139313929159672E-2</v>
      </c>
      <c r="C28" s="44"/>
    </row>
    <row r="29" spans="1:11" x14ac:dyDescent="0.25">
      <c r="A29" s="43" t="s">
        <v>5</v>
      </c>
      <c r="B29" s="39">
        <v>5.5602541547893895E-2</v>
      </c>
      <c r="C29" s="44"/>
    </row>
    <row r="30" spans="1:11" x14ac:dyDescent="0.25">
      <c r="A30" s="31" t="s">
        <v>26</v>
      </c>
      <c r="B30" s="39"/>
      <c r="C30" s="44"/>
    </row>
    <row r="31" spans="1:11" x14ac:dyDescent="0.25">
      <c r="A31" s="43" t="s">
        <v>5</v>
      </c>
      <c r="B31" s="39">
        <v>1</v>
      </c>
      <c r="C31" s="44"/>
    </row>
    <row r="32" spans="1:11" x14ac:dyDescent="0.25">
      <c r="A32" s="31" t="s">
        <v>33</v>
      </c>
      <c r="B32" s="39">
        <v>1</v>
      </c>
      <c r="C32" s="44"/>
    </row>
    <row r="33" spans="1:4" x14ac:dyDescent="0.25">
      <c r="A33" s="45"/>
      <c r="B33" s="46"/>
      <c r="C33" s="44"/>
    </row>
    <row r="34" spans="1:4" x14ac:dyDescent="0.25">
      <c r="A34" s="47"/>
      <c r="B34" s="46"/>
      <c r="C34" s="44"/>
    </row>
    <row r="35" spans="1:4" x14ac:dyDescent="0.25">
      <c r="A35" s="47"/>
      <c r="B35" s="46"/>
      <c r="C35" s="44"/>
    </row>
    <row r="36" spans="1:4" x14ac:dyDescent="0.25">
      <c r="A36" s="47"/>
      <c r="B36" s="46"/>
      <c r="C36" s="48"/>
      <c r="D36" s="37"/>
    </row>
    <row r="37" spans="1:4" x14ac:dyDescent="0.25">
      <c r="A37" s="47"/>
      <c r="B37" s="46"/>
      <c r="C37" s="48"/>
    </row>
    <row r="38" spans="1:4" x14ac:dyDescent="0.25">
      <c r="A38" s="45"/>
      <c r="B38" s="46"/>
      <c r="C38" s="48"/>
    </row>
    <row r="39" spans="1:4" x14ac:dyDescent="0.25">
      <c r="A39" s="44"/>
      <c r="B39" s="44"/>
      <c r="C39" s="44"/>
    </row>
    <row r="40" spans="1:4" x14ac:dyDescent="0.25">
      <c r="A40" s="44"/>
      <c r="B40" s="44"/>
      <c r="C40" s="44"/>
    </row>
    <row r="41" spans="1:4" x14ac:dyDescent="0.25">
      <c r="A41" s="44"/>
      <c r="B41" s="44"/>
      <c r="C41" s="44"/>
    </row>
    <row r="42" spans="1:4" x14ac:dyDescent="0.25">
      <c r="A42" s="44"/>
      <c r="B42" s="44"/>
      <c r="C42" s="44"/>
    </row>
  </sheetData>
  <conditionalFormatting pivot="1" sqref="B4:B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{89968285-BE0E-46E7-A6F8-FB7FCF4A705B}</x14:id>
        </ext>
      </extLst>
    </cfRule>
  </conditionalFormatting>
  <conditionalFormatting sqref="C4:C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{A722853F-9351-4C77-8811-BAABBB6AB101}</x14:id>
        </ext>
      </extLst>
    </cfRule>
  </conditionalFormatting>
  <conditionalFormatting pivot="1" sqref="B12:B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{6F4725FE-9439-46D8-8DF8-97EF8644692F}</x14:id>
        </ext>
      </extLst>
    </cfRule>
  </conditionalFormatting>
  <pageMargins left="0.7" right="0.7" top="0.75" bottom="0.75" header="0.3" footer="0.3"/>
  <pageSetup paperSize="9" orientation="portrait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9968285-BE0E-46E7-A6F8-FB7FCF4A70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  <x14:conditionalFormatting xmlns:xm="http://schemas.microsoft.com/office/excel/2006/main">
          <x14:cfRule type="dataBar" id="{A722853F-9351-4C77-8811-BAABBB6AB1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C4:C6</xm:sqref>
        </x14:conditionalFormatting>
        <x14:conditionalFormatting xmlns:xm="http://schemas.microsoft.com/office/excel/2006/main" pivot="1">
          <x14:cfRule type="dataBar" id="{6F4725FE-9439-46D8-8DF8-97EF8644692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B12:B15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"/>
  <sheetViews>
    <sheetView workbookViewId="0"/>
  </sheetViews>
  <sheetFormatPr baseColWidth="10" defaultRowHeight="15" x14ac:dyDescent="0.25"/>
  <cols>
    <col min="1" max="1" width="17.5703125" customWidth="1"/>
    <col min="2" max="3" width="23.5703125" customWidth="1"/>
    <col min="4" max="4" width="13" customWidth="1"/>
    <col min="5" max="5" width="5.28515625" customWidth="1"/>
    <col min="6" max="6" width="23.5703125" customWidth="1"/>
    <col min="7" max="7" width="22.42578125" customWidth="1"/>
    <col min="8" max="8" width="6.5703125" customWidth="1"/>
    <col min="9" max="9" width="7.28515625" customWidth="1"/>
    <col min="10" max="10" width="10.7109375" customWidth="1"/>
    <col min="11" max="11" width="12.5703125" customWidth="1"/>
    <col min="12" max="12" width="15.140625" customWidth="1"/>
    <col min="13" max="13" width="12.5703125" bestFit="1" customWidth="1"/>
  </cols>
  <sheetData>
    <row r="2" spans="1:13" x14ac:dyDescent="0.25">
      <c r="A2" s="36" t="s">
        <v>39</v>
      </c>
    </row>
    <row r="3" spans="1:13" x14ac:dyDescent="0.25">
      <c r="A3" s="30" t="s">
        <v>32</v>
      </c>
      <c r="B3" t="s">
        <v>34</v>
      </c>
      <c r="C3" s="38" t="s">
        <v>36</v>
      </c>
      <c r="D3" s="38" t="s">
        <v>37</v>
      </c>
      <c r="E3" s="38"/>
      <c r="F3" s="30" t="s">
        <v>32</v>
      </c>
      <c r="G3" t="s">
        <v>34</v>
      </c>
    </row>
    <row r="4" spans="1:13" x14ac:dyDescent="0.25">
      <c r="A4" s="31" t="s">
        <v>13</v>
      </c>
      <c r="B4" s="32">
        <v>29189.02326691147</v>
      </c>
      <c r="C4" s="41">
        <f>Colombia!E41</f>
        <v>7.4999999999999997E-2</v>
      </c>
      <c r="D4" s="40">
        <f>B4/Colombia!C41</f>
        <v>16.324957084402389</v>
      </c>
      <c r="E4" s="40"/>
      <c r="F4" s="31" t="s">
        <v>22</v>
      </c>
      <c r="G4" s="32">
        <v>47467.9197061062</v>
      </c>
    </row>
    <row r="5" spans="1:13" x14ac:dyDescent="0.25">
      <c r="A5" s="31" t="s">
        <v>14</v>
      </c>
      <c r="B5" s="32">
        <v>156586.64767062664</v>
      </c>
      <c r="C5" s="41">
        <f>Colombia!E42</f>
        <v>0.14027010811671217</v>
      </c>
      <c r="D5" s="40">
        <f>B5/Colombia!C42</f>
        <v>13.668527205885706</v>
      </c>
      <c r="E5" s="40"/>
      <c r="F5" s="31" t="s">
        <v>24</v>
      </c>
      <c r="G5" s="32">
        <v>11345.736652135851</v>
      </c>
    </row>
    <row r="6" spans="1:13" x14ac:dyDescent="0.25">
      <c r="A6" s="31" t="s">
        <v>15</v>
      </c>
      <c r="B6" s="32">
        <v>64122.417422950268</v>
      </c>
      <c r="C6" s="41">
        <f>Colombia!E43</f>
        <v>7.5644783118405626E-2</v>
      </c>
      <c r="D6" s="40">
        <f>B6/Colombia!C43</f>
        <v>12.42201034927359</v>
      </c>
      <c r="E6" s="40"/>
      <c r="F6" s="31" t="s">
        <v>27</v>
      </c>
      <c r="G6" s="32">
        <v>58602.027163028717</v>
      </c>
    </row>
    <row r="7" spans="1:13" x14ac:dyDescent="0.25">
      <c r="A7" s="31" t="s">
        <v>33</v>
      </c>
      <c r="B7" s="32">
        <v>249898.08836048839</v>
      </c>
      <c r="C7" s="32"/>
      <c r="D7" s="32"/>
      <c r="E7" s="32"/>
      <c r="F7" s="31" t="s">
        <v>28</v>
      </c>
      <c r="G7" s="32">
        <v>132482.4048392176</v>
      </c>
    </row>
    <row r="8" spans="1:13" x14ac:dyDescent="0.25">
      <c r="F8" s="31" t="s">
        <v>33</v>
      </c>
      <c r="G8" s="32">
        <v>249898.08836048836</v>
      </c>
    </row>
    <row r="9" spans="1:13" x14ac:dyDescent="0.25">
      <c r="B9" s="31"/>
      <c r="C9" s="31"/>
      <c r="D9" s="31"/>
      <c r="E9" s="31"/>
    </row>
    <row r="10" spans="1:13" x14ac:dyDescent="0.25">
      <c r="A10" s="36" t="s">
        <v>40</v>
      </c>
      <c r="C10" s="39"/>
    </row>
    <row r="11" spans="1:13" x14ac:dyDescent="0.25">
      <c r="A11" s="30" t="s">
        <v>32</v>
      </c>
      <c r="B11" t="s">
        <v>34</v>
      </c>
    </row>
    <row r="12" spans="1:13" x14ac:dyDescent="0.25">
      <c r="A12" s="31" t="s">
        <v>5</v>
      </c>
      <c r="B12" s="39">
        <v>0.29021926453015762</v>
      </c>
    </row>
    <row r="13" spans="1:13" x14ac:dyDescent="0.25">
      <c r="A13" s="49" t="s">
        <v>29</v>
      </c>
      <c r="B13" s="39">
        <v>0.24109280847389297</v>
      </c>
      <c r="F13" s="30" t="s">
        <v>34</v>
      </c>
      <c r="G13" s="30" t="s">
        <v>35</v>
      </c>
    </row>
    <row r="14" spans="1:13" x14ac:dyDescent="0.25">
      <c r="A14" s="49" t="s">
        <v>25</v>
      </c>
      <c r="B14" s="39">
        <v>0.21505707878818039</v>
      </c>
      <c r="F14" s="30" t="s">
        <v>32</v>
      </c>
      <c r="G14" t="s">
        <v>5</v>
      </c>
      <c r="H14" t="s">
        <v>7</v>
      </c>
      <c r="I14" t="s">
        <v>8</v>
      </c>
      <c r="J14" t="s">
        <v>19</v>
      </c>
      <c r="K14" t="s">
        <v>25</v>
      </c>
      <c r="L14" t="s">
        <v>29</v>
      </c>
      <c r="M14" t="s">
        <v>33</v>
      </c>
    </row>
    <row r="15" spans="1:13" x14ac:dyDescent="0.25">
      <c r="A15" s="31" t="s">
        <v>8</v>
      </c>
      <c r="B15" s="39">
        <v>0.1753935409297547</v>
      </c>
      <c r="F15" s="31" t="s">
        <v>22</v>
      </c>
      <c r="G15" s="32">
        <v>37857.529797077201</v>
      </c>
      <c r="H15" s="32">
        <v>2188.0340063571898</v>
      </c>
      <c r="I15" s="32">
        <v>7422.3559026718103</v>
      </c>
      <c r="J15" s="32"/>
      <c r="K15" s="32"/>
      <c r="L15" s="32"/>
      <c r="M15" s="32">
        <v>47467.9197061062</v>
      </c>
    </row>
    <row r="16" spans="1:13" x14ac:dyDescent="0.25">
      <c r="A16" s="31" t="s">
        <v>7</v>
      </c>
      <c r="B16" s="39">
        <v>7.1797753149280386E-2</v>
      </c>
      <c r="F16" s="31" t="s">
        <v>24</v>
      </c>
      <c r="G16" s="32"/>
      <c r="H16" s="32"/>
      <c r="I16" s="32">
        <v>11345.736652135851</v>
      </c>
      <c r="J16" s="32"/>
      <c r="K16" s="32"/>
      <c r="L16" s="32"/>
      <c r="M16" s="32">
        <v>11345.736652135851</v>
      </c>
    </row>
    <row r="17" spans="1:13" x14ac:dyDescent="0.25">
      <c r="A17" s="31" t="s">
        <v>19</v>
      </c>
      <c r="B17" s="39">
        <v>6.4395541287339516E-3</v>
      </c>
      <c r="F17" s="31" t="s">
        <v>27</v>
      </c>
      <c r="G17" s="32">
        <v>22409.138780593868</v>
      </c>
      <c r="H17" s="32">
        <v>9521.2380814552325</v>
      </c>
      <c r="I17" s="32">
        <v>25062.418034315109</v>
      </c>
      <c r="J17" s="32">
        <v>1609.2322666645046</v>
      </c>
      <c r="K17" s="32"/>
      <c r="L17" s="32"/>
      <c r="M17" s="32">
        <v>58602.027163028717</v>
      </c>
    </row>
    <row r="18" spans="1:13" x14ac:dyDescent="0.25">
      <c r="A18" s="31" t="s">
        <v>33</v>
      </c>
      <c r="B18" s="39">
        <v>1</v>
      </c>
      <c r="F18" s="31" t="s">
        <v>28</v>
      </c>
      <c r="G18" s="32">
        <v>12258.5708338022</v>
      </c>
      <c r="H18" s="32">
        <v>6232.8491727709797</v>
      </c>
      <c r="I18" s="32"/>
      <c r="J18" s="32"/>
      <c r="K18" s="32">
        <v>53742.352877557212</v>
      </c>
      <c r="L18" s="32">
        <v>60248.631955087199</v>
      </c>
      <c r="M18" s="32">
        <v>132482.4048392176</v>
      </c>
    </row>
    <row r="19" spans="1:13" x14ac:dyDescent="0.25">
      <c r="F19" s="31" t="s">
        <v>33</v>
      </c>
      <c r="G19" s="32">
        <v>72525.23941147326</v>
      </c>
      <c r="H19" s="32">
        <v>17942.121260583401</v>
      </c>
      <c r="I19" s="32">
        <v>43830.510589122772</v>
      </c>
      <c r="J19" s="32">
        <v>1609.2322666645046</v>
      </c>
      <c r="K19" s="32">
        <v>53742.352877557212</v>
      </c>
      <c r="L19" s="32">
        <v>60248.631955087199</v>
      </c>
      <c r="M19" s="32">
        <v>249898.08836048836</v>
      </c>
    </row>
    <row r="22" spans="1:13" x14ac:dyDescent="0.25">
      <c r="A22" s="30" t="s">
        <v>32</v>
      </c>
      <c r="B22" t="s">
        <v>34</v>
      </c>
      <c r="J22" s="36"/>
    </row>
    <row r="23" spans="1:13" x14ac:dyDescent="0.25">
      <c r="A23" s="31" t="s">
        <v>22</v>
      </c>
      <c r="B23" s="39"/>
      <c r="J23" s="36"/>
    </row>
    <row r="24" spans="1:13" x14ac:dyDescent="0.25">
      <c r="A24" s="43" t="s">
        <v>5</v>
      </c>
      <c r="B24" s="39">
        <v>0.79753926507563522</v>
      </c>
    </row>
    <row r="25" spans="1:13" x14ac:dyDescent="0.25">
      <c r="A25" s="43" t="s">
        <v>8</v>
      </c>
      <c r="B25" s="39">
        <v>0.15636572971022805</v>
      </c>
      <c r="C25" s="44"/>
    </row>
    <row r="26" spans="1:13" x14ac:dyDescent="0.25">
      <c r="A26" s="43" t="s">
        <v>7</v>
      </c>
      <c r="B26" s="39">
        <v>4.6095005214136751E-2</v>
      </c>
      <c r="C26" s="44"/>
    </row>
    <row r="27" spans="1:13" x14ac:dyDescent="0.25">
      <c r="A27" s="31" t="s">
        <v>24</v>
      </c>
      <c r="B27" s="39"/>
      <c r="C27" s="44"/>
    </row>
    <row r="28" spans="1:13" x14ac:dyDescent="0.25">
      <c r="A28" s="43" t="s">
        <v>8</v>
      </c>
      <c r="B28" s="39">
        <v>1</v>
      </c>
      <c r="C28" s="44"/>
    </row>
    <row r="29" spans="1:13" x14ac:dyDescent="0.25">
      <c r="A29" s="31" t="s">
        <v>27</v>
      </c>
      <c r="B29" s="39"/>
      <c r="C29" s="44"/>
    </row>
    <row r="30" spans="1:13" x14ac:dyDescent="0.25">
      <c r="A30" s="43" t="s">
        <v>8</v>
      </c>
      <c r="B30" s="39">
        <v>0.4276715200413182</v>
      </c>
      <c r="C30" s="44"/>
    </row>
    <row r="31" spans="1:13" x14ac:dyDescent="0.25">
      <c r="A31" s="43" t="s">
        <v>5</v>
      </c>
      <c r="B31" s="39">
        <v>0.38239528332786948</v>
      </c>
      <c r="C31" s="44"/>
    </row>
    <row r="32" spans="1:13" x14ac:dyDescent="0.25">
      <c r="A32" s="43" t="s">
        <v>7</v>
      </c>
      <c r="B32" s="39">
        <v>0.16247284509403562</v>
      </c>
      <c r="C32" s="44"/>
    </row>
    <row r="33" spans="1:4" x14ac:dyDescent="0.25">
      <c r="A33" s="43" t="s">
        <v>19</v>
      </c>
      <c r="B33" s="39">
        <v>2.7460351536776683E-2</v>
      </c>
      <c r="C33" s="44"/>
    </row>
    <row r="34" spans="1:4" x14ac:dyDescent="0.25">
      <c r="A34" s="31" t="s">
        <v>28</v>
      </c>
      <c r="B34" s="39"/>
      <c r="C34" s="44"/>
    </row>
    <row r="35" spans="1:4" x14ac:dyDescent="0.25">
      <c r="A35" s="43" t="s">
        <v>29</v>
      </c>
      <c r="B35" s="39">
        <v>0.45476704644821125</v>
      </c>
      <c r="C35" s="44"/>
    </row>
    <row r="36" spans="1:4" x14ac:dyDescent="0.25">
      <c r="A36" s="43" t="s">
        <v>25</v>
      </c>
      <c r="B36" s="39">
        <v>0.40565653184496192</v>
      </c>
      <c r="C36" s="48"/>
      <c r="D36" s="37"/>
    </row>
    <row r="37" spans="1:4" x14ac:dyDescent="0.25">
      <c r="A37" s="43" t="s">
        <v>5</v>
      </c>
      <c r="B37" s="39">
        <v>9.2529803098602884E-2</v>
      </c>
      <c r="C37" s="48"/>
    </row>
    <row r="38" spans="1:4" x14ac:dyDescent="0.25">
      <c r="A38" s="43" t="s">
        <v>7</v>
      </c>
      <c r="B38" s="39">
        <v>4.7046618608223845E-2</v>
      </c>
      <c r="C38" s="48"/>
    </row>
    <row r="39" spans="1:4" x14ac:dyDescent="0.25">
      <c r="A39" s="31" t="s">
        <v>33</v>
      </c>
      <c r="B39" s="39">
        <v>1</v>
      </c>
      <c r="C39" s="44"/>
    </row>
    <row r="40" spans="1:4" x14ac:dyDescent="0.25">
      <c r="A40" s="44"/>
      <c r="B40" s="44"/>
      <c r="C40" s="44"/>
    </row>
    <row r="41" spans="1:4" x14ac:dyDescent="0.25">
      <c r="A41" s="44"/>
      <c r="B41" s="44"/>
      <c r="C41" s="44"/>
    </row>
    <row r="42" spans="1:4" x14ac:dyDescent="0.25">
      <c r="A42" s="44"/>
      <c r="B42" s="44"/>
      <c r="C42" s="44"/>
    </row>
  </sheetData>
  <conditionalFormatting pivot="1" sqref="B4:B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{2CB1ED99-C44C-4F4C-8318-559AF2211031}</x14:id>
        </ext>
      </extLst>
    </cfRule>
  </conditionalFormatting>
  <conditionalFormatting sqref="C4:C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{A48D6BDD-39FD-4A45-82CC-22D87B32799F}</x14:id>
        </ext>
      </extLst>
    </cfRule>
  </conditionalFormatting>
  <conditionalFormatting pivot="1" sqref="B12:B1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{0CA45BDB-F3B4-4534-A068-51E6E4E91954}</x14:id>
        </ext>
      </extLst>
    </cfRule>
  </conditionalFormatting>
  <conditionalFormatting pivot="1" sqref="B30:B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{D35A670B-0F0E-4BCE-A5A5-E35EE23E5D99}</x14:id>
        </ext>
      </extLst>
    </cfRule>
  </conditionalFormatting>
  <pageMargins left="0.7" right="0.7" top="0.75" bottom="0.75" header="0.3" footer="0.3"/>
  <pageSetup paperSize="9" orientation="portrait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CB1ED99-C44C-4F4C-8318-559AF2211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  <x14:conditionalFormatting xmlns:xm="http://schemas.microsoft.com/office/excel/2006/main">
          <x14:cfRule type="dataBar" id="{A48D6BDD-39FD-4A45-82CC-22D87B3279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C4:C6</xm:sqref>
        </x14:conditionalFormatting>
        <x14:conditionalFormatting xmlns:xm="http://schemas.microsoft.com/office/excel/2006/main" pivot="1">
          <x14:cfRule type="dataBar" id="{0CA45BDB-F3B4-4534-A068-51E6E4E919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B12:B18</xm:sqref>
        </x14:conditionalFormatting>
        <x14:conditionalFormatting xmlns:xm="http://schemas.microsoft.com/office/excel/2006/main" pivot="1">
          <x14:cfRule type="dataBar" id="{D35A670B-0F0E-4BCE-A5A5-E35EE23E5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B30:B32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2" sqref="E2:E5"/>
    </sheetView>
  </sheetViews>
  <sheetFormatPr baseColWidth="10" defaultRowHeight="15" x14ac:dyDescent="0.25"/>
  <cols>
    <col min="1" max="1" width="12.28515625" customWidth="1"/>
    <col min="3" max="3" width="13.140625" customWidth="1"/>
    <col min="4" max="4" width="13.28515625" customWidth="1"/>
    <col min="5" max="5" width="17.42578125" customWidth="1"/>
    <col min="6" max="6" width="12.7109375" customWidth="1"/>
    <col min="7" max="7" width="14.140625" customWidth="1"/>
  </cols>
  <sheetData>
    <row r="1" spans="1:7" x14ac:dyDescent="0.25">
      <c r="A1" t="s">
        <v>12</v>
      </c>
      <c r="B1" t="s">
        <v>2</v>
      </c>
      <c r="C1" t="s">
        <v>21</v>
      </c>
      <c r="D1" t="s">
        <v>3</v>
      </c>
      <c r="E1" t="s">
        <v>4</v>
      </c>
      <c r="F1" t="s">
        <v>41</v>
      </c>
      <c r="G1" t="s">
        <v>42</v>
      </c>
    </row>
    <row r="2" spans="1:7" x14ac:dyDescent="0.25">
      <c r="A2" t="s">
        <v>15</v>
      </c>
      <c r="B2" t="s">
        <v>19</v>
      </c>
      <c r="C2" t="s">
        <v>31</v>
      </c>
      <c r="D2">
        <v>54</v>
      </c>
      <c r="E2">
        <v>591.57631063461304</v>
      </c>
      <c r="F2" t="s">
        <v>27</v>
      </c>
      <c r="G2" t="s">
        <v>19</v>
      </c>
    </row>
    <row r="3" spans="1:7" x14ac:dyDescent="0.25">
      <c r="A3" t="s">
        <v>14</v>
      </c>
      <c r="B3" t="s">
        <v>19</v>
      </c>
      <c r="C3" t="s">
        <v>31</v>
      </c>
      <c r="D3">
        <v>81</v>
      </c>
      <c r="E3">
        <v>783.37325167655899</v>
      </c>
      <c r="F3" t="s">
        <v>27</v>
      </c>
      <c r="G3" t="s">
        <v>19</v>
      </c>
    </row>
    <row r="4" spans="1:7" x14ac:dyDescent="0.25">
      <c r="A4" t="s">
        <v>14</v>
      </c>
      <c r="B4" t="s">
        <v>19</v>
      </c>
      <c r="C4" t="s">
        <v>31</v>
      </c>
      <c r="D4">
        <v>1</v>
      </c>
      <c r="E4">
        <v>5.5802092552185103</v>
      </c>
      <c r="F4" t="s">
        <v>27</v>
      </c>
      <c r="G4" t="s">
        <v>19</v>
      </c>
    </row>
    <row r="5" spans="1:7" x14ac:dyDescent="0.25">
      <c r="A5" t="s">
        <v>13</v>
      </c>
      <c r="B5" t="s">
        <v>19</v>
      </c>
      <c r="C5" t="s">
        <v>31</v>
      </c>
      <c r="D5">
        <v>21</v>
      </c>
      <c r="E5">
        <v>228.70249509811401</v>
      </c>
      <c r="F5" t="s">
        <v>27</v>
      </c>
      <c r="G5" t="s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1"/>
  <sheetViews>
    <sheetView workbookViewId="0">
      <selection activeCell="B1" sqref="B1"/>
    </sheetView>
  </sheetViews>
  <sheetFormatPr baseColWidth="10" defaultRowHeight="15" x14ac:dyDescent="0.25"/>
  <cols>
    <col min="1" max="1" width="3.140625" bestFit="1" customWidth="1"/>
    <col min="2" max="2" width="17.5703125" customWidth="1"/>
    <col min="3" max="3" width="23.5703125" bestFit="1" customWidth="1"/>
    <col min="4" max="4" width="24" bestFit="1" customWidth="1"/>
    <col min="5" max="5" width="11.140625" bestFit="1" customWidth="1"/>
    <col min="6" max="6" width="15.28515625" bestFit="1" customWidth="1"/>
    <col min="7" max="7" width="13.5703125" style="52" bestFit="1" customWidth="1"/>
    <col min="8" max="8" width="11.5703125" style="52" bestFit="1" customWidth="1"/>
    <col min="10" max="10" width="24" bestFit="1" customWidth="1"/>
    <col min="11" max="11" width="14.5703125" bestFit="1" customWidth="1"/>
    <col min="12" max="12" width="11.5703125" bestFit="1" customWidth="1"/>
    <col min="13" max="13" width="11.140625" bestFit="1" customWidth="1"/>
    <col min="14" max="14" width="15.28515625" bestFit="1" customWidth="1"/>
  </cols>
  <sheetData>
    <row r="2" spans="1:15" x14ac:dyDescent="0.25">
      <c r="A2" s="19" t="s">
        <v>0</v>
      </c>
      <c r="B2" t="s">
        <v>1</v>
      </c>
      <c r="D2" s="27" t="s">
        <v>30</v>
      </c>
    </row>
    <row r="4" spans="1:15" x14ac:dyDescent="0.25">
      <c r="B4" s="5" t="s">
        <v>12</v>
      </c>
      <c r="C4" s="7" t="s">
        <v>2</v>
      </c>
      <c r="D4" s="6" t="s">
        <v>21</v>
      </c>
      <c r="E4" s="7" t="s">
        <v>3</v>
      </c>
      <c r="F4" s="23" t="s">
        <v>4</v>
      </c>
      <c r="G4" s="53" t="s">
        <v>41</v>
      </c>
      <c r="H4" s="54" t="s">
        <v>52</v>
      </c>
      <c r="J4" s="5" t="s">
        <v>21</v>
      </c>
      <c r="K4" s="7" t="s">
        <v>12</v>
      </c>
      <c r="L4" s="6" t="s">
        <v>2</v>
      </c>
      <c r="M4" s="7" t="s">
        <v>3</v>
      </c>
      <c r="N4" s="23" t="s">
        <v>4</v>
      </c>
      <c r="O4" s="42" t="s">
        <v>41</v>
      </c>
    </row>
    <row r="5" spans="1:15" x14ac:dyDescent="0.25">
      <c r="B5" s="1" t="s">
        <v>13</v>
      </c>
      <c r="C5" s="8" t="s">
        <v>6</v>
      </c>
      <c r="D5" s="2" t="s">
        <v>22</v>
      </c>
      <c r="E5" s="8">
        <v>313</v>
      </c>
      <c r="F5" s="33">
        <v>6387.5076303482101</v>
      </c>
      <c r="G5" s="52" t="str">
        <f>INDEX(Datos!$C$4:$C$9,MATCH(D5,Datos!$B$4:$B$9,0),1)</f>
        <v>Oferta del Día</v>
      </c>
      <c r="H5" s="52" t="str">
        <f>IF(C5="General","Contenedor",C5)</f>
        <v>Contenedor</v>
      </c>
      <c r="J5" s="29" t="s">
        <v>31</v>
      </c>
      <c r="K5" s="8" t="s">
        <v>13</v>
      </c>
      <c r="L5" s="2" t="s">
        <v>19</v>
      </c>
      <c r="M5" s="8">
        <v>234</v>
      </c>
      <c r="N5" s="20">
        <v>6226.0600011348697</v>
      </c>
      <c r="O5" t="str">
        <f>INDEX(Datos!$C$4:$C$9,MATCH(J5,Datos!$B$4:$B$9,0),1)</f>
        <v>Ofertas para ti</v>
      </c>
    </row>
    <row r="6" spans="1:15" x14ac:dyDescent="0.25">
      <c r="B6" s="1" t="s">
        <v>13</v>
      </c>
      <c r="C6" s="8" t="s">
        <v>7</v>
      </c>
      <c r="D6" s="2" t="s">
        <v>23</v>
      </c>
      <c r="E6" s="8">
        <v>77</v>
      </c>
      <c r="F6" s="34">
        <v>2041.5031466484099</v>
      </c>
      <c r="G6" s="52" t="str">
        <f>INDEX(Datos!$C$4:$C$9,MATCH(D6,Datos!$B$4:$B$9,0),1)</f>
        <v>Ofertas para ti</v>
      </c>
      <c r="H6" s="52" t="str">
        <f t="shared" ref="H6:H31" si="0">IF(C6="General","Contenedor",C6)</f>
        <v>Home</v>
      </c>
      <c r="J6" s="8" t="s">
        <v>31</v>
      </c>
      <c r="K6" s="8" t="s">
        <v>15</v>
      </c>
      <c r="L6" s="2" t="s">
        <v>19</v>
      </c>
      <c r="M6" s="8">
        <v>638</v>
      </c>
      <c r="N6" s="20">
        <v>15728.369644403499</v>
      </c>
      <c r="O6" t="str">
        <f>INDEX(Datos!$C$4:$C$9,MATCH(J6,Datos!$B$4:$B$9,0),1)</f>
        <v>Ofertas para ti</v>
      </c>
    </row>
    <row r="7" spans="1:15" x14ac:dyDescent="0.25">
      <c r="B7" s="1" t="s">
        <v>13</v>
      </c>
      <c r="C7" s="8" t="s">
        <v>8</v>
      </c>
      <c r="D7" s="2" t="s">
        <v>24</v>
      </c>
      <c r="E7" s="8">
        <v>300</v>
      </c>
      <c r="F7" s="33">
        <v>2715.29379856586</v>
      </c>
      <c r="G7" s="52" t="str">
        <f>INDEX(Datos!$C$4:$C$9,MATCH(D7,Datos!$B$4:$B$9,0),1)</f>
        <v>Oferta Final</v>
      </c>
      <c r="H7" s="52" t="str">
        <f t="shared" si="0"/>
        <v>Pedido</v>
      </c>
      <c r="J7" s="1" t="s">
        <v>26</v>
      </c>
      <c r="K7" s="8" t="s">
        <v>14</v>
      </c>
      <c r="L7" s="2" t="s">
        <v>5</v>
      </c>
      <c r="M7" s="8">
        <v>1654</v>
      </c>
      <c r="N7" s="20">
        <v>45515.355929732301</v>
      </c>
      <c r="O7" t="str">
        <f>INDEX(Datos!$C$4:$C$9,MATCH(J7,Datos!$B$4:$B$9,0),1)</f>
        <v>GND</v>
      </c>
    </row>
    <row r="8" spans="1:15" x14ac:dyDescent="0.25">
      <c r="B8" s="1" t="s">
        <v>13</v>
      </c>
      <c r="C8" s="8" t="s">
        <v>8</v>
      </c>
      <c r="D8" s="2" t="s">
        <v>23</v>
      </c>
      <c r="E8" s="8">
        <v>8</v>
      </c>
      <c r="F8" s="34">
        <v>142.77583360672</v>
      </c>
      <c r="G8" s="52" t="str">
        <f>INDEX(Datos!$C$4:$C$9,MATCH(D8,Datos!$B$4:$B$9,0),1)</f>
        <v>Ofertas para ti</v>
      </c>
      <c r="H8" s="52" t="str">
        <f t="shared" si="0"/>
        <v>Pedido</v>
      </c>
      <c r="J8" s="1" t="s">
        <v>26</v>
      </c>
      <c r="K8" s="8" t="s">
        <v>15</v>
      </c>
      <c r="L8" s="2" t="s">
        <v>5</v>
      </c>
      <c r="M8" s="8">
        <v>1296</v>
      </c>
      <c r="N8" s="20">
        <v>35865.371140479998</v>
      </c>
      <c r="O8" t="str">
        <f>INDEX(Datos!$C$4:$C$9,MATCH(J8,Datos!$B$4:$B$9,0),1)</f>
        <v>GND</v>
      </c>
    </row>
    <row r="9" spans="1:15" x14ac:dyDescent="0.25">
      <c r="B9" s="1" t="s">
        <v>13</v>
      </c>
      <c r="C9" s="8" t="s">
        <v>19</v>
      </c>
      <c r="D9" s="2" t="s">
        <v>31</v>
      </c>
      <c r="E9" s="8">
        <v>234</v>
      </c>
      <c r="F9" s="33">
        <v>6226.0600011348697</v>
      </c>
      <c r="G9" s="52" t="str">
        <f>INDEX(Datos!$C$4:$C$9,MATCH(D9,Datos!$B$4:$B$9,0),1)</f>
        <v>Ofertas para ti</v>
      </c>
      <c r="H9" s="52" t="str">
        <f t="shared" si="0"/>
        <v>RD Landing</v>
      </c>
      <c r="J9" s="1" t="s">
        <v>22</v>
      </c>
      <c r="K9" s="8" t="s">
        <v>13</v>
      </c>
      <c r="L9" s="2" t="s">
        <v>6</v>
      </c>
      <c r="M9" s="8">
        <v>313</v>
      </c>
      <c r="N9" s="20">
        <v>6387.5076303482101</v>
      </c>
      <c r="O9" t="str">
        <f>INDEX(Datos!$C$4:$C$9,MATCH(J9,Datos!$B$4:$B$9,0),1)</f>
        <v>Oferta del Día</v>
      </c>
    </row>
    <row r="10" spans="1:15" x14ac:dyDescent="0.25">
      <c r="B10" s="1" t="s">
        <v>13</v>
      </c>
      <c r="C10" s="8" t="s">
        <v>19</v>
      </c>
      <c r="D10" s="2" t="s">
        <v>31</v>
      </c>
      <c r="E10" s="8">
        <v>805</v>
      </c>
      <c r="F10" s="33">
        <v>21643.738758507199</v>
      </c>
      <c r="G10" s="52" t="str">
        <f>INDEX(Datos!$C$4:$C$9,MATCH(D10,Datos!$B$4:$B$9,0),1)</f>
        <v>Ofertas para ti</v>
      </c>
      <c r="H10" s="52" t="str">
        <f t="shared" si="0"/>
        <v>RD Landing</v>
      </c>
      <c r="J10" s="1" t="s">
        <v>22</v>
      </c>
      <c r="K10" s="8" t="s">
        <v>14</v>
      </c>
      <c r="L10" s="2" t="s">
        <v>6</v>
      </c>
      <c r="M10" s="8">
        <v>730</v>
      </c>
      <c r="N10" s="20">
        <v>14547.912848472601</v>
      </c>
      <c r="O10" t="str">
        <f>INDEX(Datos!$C$4:$C$9,MATCH(J10,Datos!$B$4:$B$9,0),1)</f>
        <v>Oferta del Día</v>
      </c>
    </row>
    <row r="11" spans="1:15" x14ac:dyDescent="0.25">
      <c r="B11" s="1" t="s">
        <v>13</v>
      </c>
      <c r="C11" s="8" t="s">
        <v>19</v>
      </c>
      <c r="D11" s="2" t="s">
        <v>31</v>
      </c>
      <c r="E11" s="8">
        <v>3</v>
      </c>
      <c r="F11" s="33">
        <v>46.812642097473102</v>
      </c>
      <c r="G11" s="52" t="str">
        <f>INDEX(Datos!$C$4:$C$9,MATCH(D11,Datos!$B$4:$B$9,0),1)</f>
        <v>Ofertas para ti</v>
      </c>
      <c r="H11" s="52" t="str">
        <f t="shared" si="0"/>
        <v>RD Landing</v>
      </c>
      <c r="J11" s="1" t="s">
        <v>22</v>
      </c>
      <c r="K11" s="8" t="s">
        <v>14</v>
      </c>
      <c r="L11" s="2" t="s">
        <v>7</v>
      </c>
      <c r="M11" s="8">
        <v>186</v>
      </c>
      <c r="N11" s="20">
        <v>3423.50937008858</v>
      </c>
      <c r="O11" t="str">
        <f>INDEX(Datos!$C$4:$C$9,MATCH(J11,Datos!$B$4:$B$9,0),1)</f>
        <v>Oferta del Día</v>
      </c>
    </row>
    <row r="12" spans="1:15" x14ac:dyDescent="0.25">
      <c r="B12" s="1" t="s">
        <v>14</v>
      </c>
      <c r="C12" s="8" t="s">
        <v>5</v>
      </c>
      <c r="D12" s="2" t="s">
        <v>26</v>
      </c>
      <c r="E12" s="8">
        <v>1654</v>
      </c>
      <c r="F12" s="33">
        <v>45515.355929732301</v>
      </c>
      <c r="G12" s="52" t="str">
        <f>INDEX(Datos!$C$4:$C$9,MATCH(D12,Datos!$B$4:$B$9,0),1)</f>
        <v>GND</v>
      </c>
      <c r="H12" s="52" t="str">
        <f t="shared" si="0"/>
        <v>Contenedor</v>
      </c>
      <c r="J12" s="1" t="s">
        <v>22</v>
      </c>
      <c r="K12" s="8" t="s">
        <v>14</v>
      </c>
      <c r="L12" s="2" t="s">
        <v>8</v>
      </c>
      <c r="M12" s="8">
        <v>330</v>
      </c>
      <c r="N12" s="20">
        <v>6140.0805120468103</v>
      </c>
      <c r="O12" t="str">
        <f>INDEX(Datos!$C$4:$C$9,MATCH(J12,Datos!$B$4:$B$9,0),1)</f>
        <v>Oferta del Día</v>
      </c>
    </row>
    <row r="13" spans="1:15" x14ac:dyDescent="0.25">
      <c r="B13" s="1" t="s">
        <v>14</v>
      </c>
      <c r="C13" s="8" t="s">
        <v>5</v>
      </c>
      <c r="D13" s="2" t="s">
        <v>23</v>
      </c>
      <c r="E13" s="8">
        <v>556</v>
      </c>
      <c r="F13" s="34">
        <v>13127.861427784001</v>
      </c>
      <c r="G13" s="52" t="str">
        <f>INDEX(Datos!$C$4:$C$9,MATCH(D13,Datos!$B$4:$B$9,0),1)</f>
        <v>Ofertas para ti</v>
      </c>
      <c r="H13" s="52" t="str">
        <f t="shared" si="0"/>
        <v>Contenedor</v>
      </c>
      <c r="J13" s="1" t="s">
        <v>22</v>
      </c>
      <c r="K13" s="8" t="s">
        <v>15</v>
      </c>
      <c r="L13" s="2" t="s">
        <v>6</v>
      </c>
      <c r="M13" s="8">
        <v>1279</v>
      </c>
      <c r="N13" s="20">
        <v>25618.891978740699</v>
      </c>
      <c r="O13" t="str">
        <f>INDEX(Datos!$C$4:$C$9,MATCH(J13,Datos!$B$4:$B$9,0),1)</f>
        <v>Oferta del Día</v>
      </c>
    </row>
    <row r="14" spans="1:15" x14ac:dyDescent="0.25">
      <c r="B14" s="1" t="s">
        <v>14</v>
      </c>
      <c r="C14" s="8" t="s">
        <v>6</v>
      </c>
      <c r="D14" s="2" t="s">
        <v>22</v>
      </c>
      <c r="E14" s="8">
        <v>730</v>
      </c>
      <c r="F14" s="33">
        <v>14547.912848472601</v>
      </c>
      <c r="G14" s="52" t="str">
        <f>INDEX(Datos!$C$4:$C$9,MATCH(D14,Datos!$B$4:$B$9,0),1)</f>
        <v>Oferta del Día</v>
      </c>
      <c r="H14" s="52" t="str">
        <f t="shared" si="0"/>
        <v>Contenedor</v>
      </c>
      <c r="J14" s="1" t="s">
        <v>24</v>
      </c>
      <c r="K14" s="8" t="s">
        <v>13</v>
      </c>
      <c r="L14" s="2" t="s">
        <v>8</v>
      </c>
      <c r="M14" s="8">
        <v>300</v>
      </c>
      <c r="N14" s="20">
        <v>2715.29379856586</v>
      </c>
      <c r="O14" t="str">
        <f>INDEX(Datos!$C$4:$C$9,MATCH(J14,Datos!$B$4:$B$9,0),1)</f>
        <v>Oferta Final</v>
      </c>
    </row>
    <row r="15" spans="1:15" x14ac:dyDescent="0.25">
      <c r="B15" s="1" t="s">
        <v>14</v>
      </c>
      <c r="C15" s="8" t="s">
        <v>7</v>
      </c>
      <c r="D15" s="2" t="s">
        <v>22</v>
      </c>
      <c r="E15" s="8">
        <v>186</v>
      </c>
      <c r="F15" s="33">
        <v>3423.50937008858</v>
      </c>
      <c r="G15" s="52" t="str">
        <f>INDEX(Datos!$C$4:$C$9,MATCH(D15,Datos!$B$4:$B$9,0),1)</f>
        <v>Oferta del Día</v>
      </c>
      <c r="H15" s="52" t="str">
        <f t="shared" si="0"/>
        <v>Home</v>
      </c>
      <c r="J15" s="1" t="s">
        <v>24</v>
      </c>
      <c r="K15" s="8" t="s">
        <v>14</v>
      </c>
      <c r="L15" s="2" t="s">
        <v>8</v>
      </c>
      <c r="M15" s="8">
        <v>2686</v>
      </c>
      <c r="N15" s="20">
        <v>26632.934366107002</v>
      </c>
      <c r="O15" t="str">
        <f>INDEX(Datos!$C$4:$C$9,MATCH(J15,Datos!$B$4:$B$9,0),1)</f>
        <v>Oferta Final</v>
      </c>
    </row>
    <row r="16" spans="1:15" x14ac:dyDescent="0.25">
      <c r="B16" s="1" t="s">
        <v>14</v>
      </c>
      <c r="C16" s="8" t="s">
        <v>7</v>
      </c>
      <c r="D16" s="2" t="s">
        <v>27</v>
      </c>
      <c r="E16" s="8">
        <v>187</v>
      </c>
      <c r="F16" s="33">
        <v>3462.7424517301802</v>
      </c>
      <c r="G16" s="52" t="str">
        <f>INDEX(Datos!$C$4:$C$9,MATCH(D16,Datos!$B$4:$B$9,0),1)</f>
        <v>Ofertas para ti</v>
      </c>
      <c r="H16" s="52" t="str">
        <f t="shared" si="0"/>
        <v>Home</v>
      </c>
      <c r="J16" s="1" t="s">
        <v>24</v>
      </c>
      <c r="K16" s="8" t="s">
        <v>15</v>
      </c>
      <c r="L16" s="2" t="s">
        <v>8</v>
      </c>
      <c r="M16" s="8">
        <v>1138</v>
      </c>
      <c r="N16" s="20">
        <v>10745.0180279016</v>
      </c>
      <c r="O16" t="str">
        <f>INDEX(Datos!$C$4:$C$9,MATCH(J16,Datos!$B$4:$B$9,0),1)</f>
        <v>Oferta Final</v>
      </c>
    </row>
    <row r="17" spans="2:15" x14ac:dyDescent="0.25">
      <c r="B17" s="1" t="s">
        <v>14</v>
      </c>
      <c r="C17" s="8" t="s">
        <v>7</v>
      </c>
      <c r="D17" s="2" t="s">
        <v>23</v>
      </c>
      <c r="E17" s="8">
        <v>75</v>
      </c>
      <c r="F17" s="34">
        <v>1486.13473725319</v>
      </c>
      <c r="G17" s="52" t="str">
        <f>INDEX(Datos!$C$4:$C$9,MATCH(D17,Datos!$B$4:$B$9,0),1)</f>
        <v>Ofertas para ti</v>
      </c>
      <c r="H17" s="52" t="str">
        <f t="shared" si="0"/>
        <v>Home</v>
      </c>
      <c r="J17" s="1" t="s">
        <v>27</v>
      </c>
      <c r="K17" s="8" t="s">
        <v>14</v>
      </c>
      <c r="L17" s="2" t="s">
        <v>7</v>
      </c>
      <c r="M17" s="8">
        <v>187</v>
      </c>
      <c r="N17" s="20">
        <v>3462.7424517301802</v>
      </c>
      <c r="O17" t="str">
        <f>INDEX(Datos!$C$4:$C$9,MATCH(J17,Datos!$B$4:$B$9,0),1)</f>
        <v>Ofertas para ti</v>
      </c>
    </row>
    <row r="18" spans="2:15" x14ac:dyDescent="0.25">
      <c r="B18" s="1" t="s">
        <v>14</v>
      </c>
      <c r="C18" s="8" t="s">
        <v>8</v>
      </c>
      <c r="D18" s="2" t="s">
        <v>22</v>
      </c>
      <c r="E18" s="8">
        <v>330</v>
      </c>
      <c r="F18" s="33">
        <v>6140.0805120468103</v>
      </c>
      <c r="G18" s="52" t="str">
        <f>INDEX(Datos!$C$4:$C$9,MATCH(D18,Datos!$B$4:$B$9,0),1)</f>
        <v>Oferta del Día</v>
      </c>
      <c r="H18" s="52" t="str">
        <f t="shared" si="0"/>
        <v>Pedido</v>
      </c>
      <c r="J18" s="1" t="s">
        <v>23</v>
      </c>
      <c r="K18" s="8" t="s">
        <v>13</v>
      </c>
      <c r="L18" s="2" t="s">
        <v>7</v>
      </c>
      <c r="M18" s="8">
        <v>77</v>
      </c>
      <c r="N18" s="20">
        <v>2041.5031466484099</v>
      </c>
      <c r="O18" t="str">
        <f>INDEX(Datos!$C$4:$C$9,MATCH(J18,Datos!$B$4:$B$9,0),1)</f>
        <v>Ofertas para ti</v>
      </c>
    </row>
    <row r="19" spans="2:15" x14ac:dyDescent="0.25">
      <c r="B19" s="1" t="s">
        <v>14</v>
      </c>
      <c r="C19" s="8" t="s">
        <v>8</v>
      </c>
      <c r="D19" s="2" t="s">
        <v>24</v>
      </c>
      <c r="E19" s="8">
        <v>2686</v>
      </c>
      <c r="F19" s="33">
        <v>26632.934366107002</v>
      </c>
      <c r="G19" s="52" t="str">
        <f>INDEX(Datos!$C$4:$C$9,MATCH(D19,Datos!$B$4:$B$9,0),1)</f>
        <v>Oferta Final</v>
      </c>
      <c r="H19" s="52" t="str">
        <f t="shared" si="0"/>
        <v>Pedido</v>
      </c>
      <c r="J19" s="1" t="s">
        <v>23</v>
      </c>
      <c r="K19" s="8" t="s">
        <v>13</v>
      </c>
      <c r="L19" s="2" t="s">
        <v>8</v>
      </c>
      <c r="M19" s="8">
        <v>8</v>
      </c>
      <c r="N19" s="20">
        <v>142.77583360672</v>
      </c>
      <c r="O19" t="str">
        <f>INDEX(Datos!$C$4:$C$9,MATCH(J19,Datos!$B$4:$B$9,0),1)</f>
        <v>Ofertas para ti</v>
      </c>
    </row>
    <row r="20" spans="2:15" x14ac:dyDescent="0.25">
      <c r="B20" s="1" t="s">
        <v>14</v>
      </c>
      <c r="C20" s="8" t="s">
        <v>8</v>
      </c>
      <c r="D20" s="2" t="s">
        <v>23</v>
      </c>
      <c r="E20" s="8">
        <v>785</v>
      </c>
      <c r="F20" s="34">
        <v>14856.3951832736</v>
      </c>
      <c r="G20" s="52" t="str">
        <f>INDEX(Datos!$C$4:$C$9,MATCH(D20,Datos!$B$4:$B$9,0),1)</f>
        <v>Ofertas para ti</v>
      </c>
      <c r="H20" s="52" t="str">
        <f t="shared" si="0"/>
        <v>Pedido</v>
      </c>
      <c r="J20" s="1" t="s">
        <v>23</v>
      </c>
      <c r="K20" s="8" t="s">
        <v>14</v>
      </c>
      <c r="L20" s="2" t="s">
        <v>5</v>
      </c>
      <c r="M20" s="8">
        <v>556</v>
      </c>
      <c r="N20" s="20">
        <v>13127.861427784001</v>
      </c>
      <c r="O20" t="str">
        <f>INDEX(Datos!$C$4:$C$9,MATCH(J20,Datos!$B$4:$B$9,0),1)</f>
        <v>Ofertas para ti</v>
      </c>
    </row>
    <row r="21" spans="2:15" x14ac:dyDescent="0.25">
      <c r="B21" s="1" t="s">
        <v>14</v>
      </c>
      <c r="C21" s="8" t="s">
        <v>19</v>
      </c>
      <c r="D21" s="2" t="s">
        <v>31</v>
      </c>
      <c r="E21" s="8">
        <v>692</v>
      </c>
      <c r="F21" s="33">
        <v>8565.9625953733903</v>
      </c>
      <c r="G21" s="52" t="str">
        <f>INDEX(Datos!$C$4:$C$9,MATCH(D21,Datos!$B$4:$B$9,0),1)</f>
        <v>Ofertas para ti</v>
      </c>
      <c r="H21" s="52" t="str">
        <f t="shared" si="0"/>
        <v>RD Landing</v>
      </c>
      <c r="J21" s="1" t="s">
        <v>23</v>
      </c>
      <c r="K21" s="8" t="s">
        <v>14</v>
      </c>
      <c r="L21" s="2" t="s">
        <v>7</v>
      </c>
      <c r="M21" s="8">
        <v>75</v>
      </c>
      <c r="N21" s="20">
        <v>1486.13473725319</v>
      </c>
      <c r="O21" t="str">
        <f>INDEX(Datos!$C$4:$C$9,MATCH(J21,Datos!$B$4:$B$9,0),1)</f>
        <v>Ofertas para ti</v>
      </c>
    </row>
    <row r="22" spans="2:15" x14ac:dyDescent="0.25">
      <c r="B22" s="1" t="s">
        <v>14</v>
      </c>
      <c r="C22" s="8" t="s">
        <v>19</v>
      </c>
      <c r="D22" s="2" t="s">
        <v>31</v>
      </c>
      <c r="E22" s="8">
        <v>28</v>
      </c>
      <c r="F22" s="33">
        <v>717.61020016670204</v>
      </c>
      <c r="G22" s="52" t="str">
        <f>INDEX(Datos!$C$4:$C$9,MATCH(D22,Datos!$B$4:$B$9,0),1)</f>
        <v>Ofertas para ti</v>
      </c>
      <c r="H22" s="52" t="str">
        <f t="shared" si="0"/>
        <v>RD Landing</v>
      </c>
      <c r="J22" s="1" t="s">
        <v>23</v>
      </c>
      <c r="K22" s="8" t="s">
        <v>14</v>
      </c>
      <c r="L22" s="2" t="s">
        <v>8</v>
      </c>
      <c r="M22" s="8">
        <v>785</v>
      </c>
      <c r="N22" s="20">
        <v>14856.3951832736</v>
      </c>
      <c r="O22" t="str">
        <f>INDEX(Datos!$C$4:$C$9,MATCH(J22,Datos!$B$4:$B$9,0),1)</f>
        <v>Ofertas para ti</v>
      </c>
    </row>
    <row r="23" spans="2:15" x14ac:dyDescent="0.25">
      <c r="B23" s="1" t="s">
        <v>14</v>
      </c>
      <c r="C23" s="8" t="s">
        <v>19</v>
      </c>
      <c r="D23" s="2" t="s">
        <v>31</v>
      </c>
      <c r="E23" s="8">
        <v>2114</v>
      </c>
      <c r="F23" s="33">
        <v>58267.078411102302</v>
      </c>
      <c r="G23" s="52" t="str">
        <f>INDEX(Datos!$C$4:$C$9,MATCH(D23,Datos!$B$4:$B$9,0),1)</f>
        <v>Ofertas para ti</v>
      </c>
      <c r="H23" s="52" t="str">
        <f t="shared" si="0"/>
        <v>RD Landing</v>
      </c>
      <c r="J23" s="1" t="s">
        <v>23</v>
      </c>
      <c r="K23" s="8" t="s">
        <v>15</v>
      </c>
      <c r="L23" s="2" t="s">
        <v>7</v>
      </c>
      <c r="M23" s="8">
        <v>736</v>
      </c>
      <c r="N23" s="20">
        <v>15036.4103527917</v>
      </c>
      <c r="O23" t="str">
        <f>INDEX(Datos!$C$4:$C$9,MATCH(J23,Datos!$B$4:$B$9,0),1)</f>
        <v>Ofertas para ti</v>
      </c>
    </row>
    <row r="24" spans="2:15" x14ac:dyDescent="0.25">
      <c r="B24" s="1" t="s">
        <v>15</v>
      </c>
      <c r="C24" s="8" t="s">
        <v>5</v>
      </c>
      <c r="D24" s="2" t="s">
        <v>26</v>
      </c>
      <c r="E24" s="8">
        <v>1296</v>
      </c>
      <c r="F24" s="33">
        <v>35865.371140479998</v>
      </c>
      <c r="G24" s="52" t="str">
        <f>INDEX(Datos!$C$4:$C$9,MATCH(D24,Datos!$B$4:$B$9,0),1)</f>
        <v>GND</v>
      </c>
      <c r="H24" s="52" t="str">
        <f t="shared" si="0"/>
        <v>Contenedor</v>
      </c>
      <c r="J24" s="1" t="s">
        <v>23</v>
      </c>
      <c r="K24" s="8" t="s">
        <v>15</v>
      </c>
      <c r="L24" s="2" t="s">
        <v>8</v>
      </c>
      <c r="M24" s="8">
        <v>39</v>
      </c>
      <c r="N24" s="20">
        <v>852.54340267181396</v>
      </c>
      <c r="O24" t="str">
        <f>INDEX(Datos!$C$4:$C$9,MATCH(J24,Datos!$B$4:$B$9,0),1)</f>
        <v>Ofertas para ti</v>
      </c>
    </row>
    <row r="25" spans="2:15" x14ac:dyDescent="0.25">
      <c r="B25" s="1" t="s">
        <v>15</v>
      </c>
      <c r="C25" s="8" t="s">
        <v>6</v>
      </c>
      <c r="D25" s="2" t="s">
        <v>22</v>
      </c>
      <c r="E25" s="8">
        <v>1279</v>
      </c>
      <c r="F25" s="33">
        <v>25618.891978740699</v>
      </c>
      <c r="G25" s="52" t="str">
        <f>INDEX(Datos!$C$4:$C$9,MATCH(D25,Datos!$B$4:$B$9,0),1)</f>
        <v>Oferta del Día</v>
      </c>
      <c r="H25" s="52" t="str">
        <f t="shared" si="0"/>
        <v>Contenedor</v>
      </c>
      <c r="J25" s="8" t="s">
        <v>31</v>
      </c>
      <c r="K25" s="8" t="s">
        <v>13</v>
      </c>
      <c r="L25" s="2" t="s">
        <v>19</v>
      </c>
      <c r="M25" s="8">
        <v>805</v>
      </c>
      <c r="N25" s="20">
        <v>21643.738758507199</v>
      </c>
      <c r="O25" t="str">
        <f>INDEX(Datos!$C$4:$C$9,MATCH(J25,Datos!$B$4:$B$9,0),1)</f>
        <v>Ofertas para ti</v>
      </c>
    </row>
    <row r="26" spans="2:15" x14ac:dyDescent="0.25">
      <c r="B26" s="1" t="s">
        <v>15</v>
      </c>
      <c r="C26" s="8" t="s">
        <v>7</v>
      </c>
      <c r="D26" s="2" t="s">
        <v>23</v>
      </c>
      <c r="E26" s="8">
        <v>736</v>
      </c>
      <c r="F26" s="34">
        <v>15036.4103527917</v>
      </c>
      <c r="G26" s="52" t="str">
        <f>INDEX(Datos!$C$4:$C$9,MATCH(D26,Datos!$B$4:$B$9,0),1)</f>
        <v>Ofertas para ti</v>
      </c>
      <c r="H26" s="52" t="str">
        <f t="shared" si="0"/>
        <v>Home</v>
      </c>
      <c r="J26" s="8" t="s">
        <v>31</v>
      </c>
      <c r="K26" s="8" t="s">
        <v>14</v>
      </c>
      <c r="L26" s="2" t="s">
        <v>19</v>
      </c>
      <c r="M26" s="8">
        <v>692</v>
      </c>
      <c r="N26" s="20">
        <v>8565.9625953733903</v>
      </c>
      <c r="O26" t="str">
        <f>INDEX(Datos!$C$4:$C$9,MATCH(J26,Datos!$B$4:$B$9,0),1)</f>
        <v>Ofertas para ti</v>
      </c>
    </row>
    <row r="27" spans="2:15" x14ac:dyDescent="0.25">
      <c r="B27" s="1" t="s">
        <v>15</v>
      </c>
      <c r="C27" s="8" t="s">
        <v>8</v>
      </c>
      <c r="D27" s="8" t="s">
        <v>24</v>
      </c>
      <c r="E27" s="8">
        <v>1138</v>
      </c>
      <c r="F27" s="33">
        <v>10745.0180279016</v>
      </c>
      <c r="G27" s="52" t="str">
        <f>INDEX(Datos!$C$4:$C$9,MATCH(D27,Datos!$B$4:$B$9,0),1)</f>
        <v>Oferta Final</v>
      </c>
      <c r="H27" s="52" t="str">
        <f t="shared" si="0"/>
        <v>Pedido</v>
      </c>
      <c r="J27" s="8" t="s">
        <v>31</v>
      </c>
      <c r="K27" s="8" t="s">
        <v>15</v>
      </c>
      <c r="L27" s="2" t="s">
        <v>19</v>
      </c>
      <c r="M27" s="8">
        <v>2569</v>
      </c>
      <c r="N27" s="20">
        <v>73754.655967593193</v>
      </c>
      <c r="O27" t="str">
        <f>INDEX(Datos!$C$4:$C$9,MATCH(J27,Datos!$B$4:$B$9,0),1)</f>
        <v>Ofertas para ti</v>
      </c>
    </row>
    <row r="28" spans="2:15" x14ac:dyDescent="0.25">
      <c r="B28" s="1" t="s">
        <v>15</v>
      </c>
      <c r="C28" s="8" t="s">
        <v>8</v>
      </c>
      <c r="D28" s="8" t="s">
        <v>23</v>
      </c>
      <c r="E28" s="8">
        <v>39</v>
      </c>
      <c r="F28" s="34">
        <v>852.54340267181396</v>
      </c>
      <c r="G28" s="52" t="str">
        <f>INDEX(Datos!$C$4:$C$9,MATCH(D28,Datos!$B$4:$B$9,0),1)</f>
        <v>Ofertas para ti</v>
      </c>
      <c r="H28" s="52" t="str">
        <f t="shared" si="0"/>
        <v>Pedido</v>
      </c>
      <c r="J28" s="8" t="s">
        <v>31</v>
      </c>
      <c r="K28" s="8" t="s">
        <v>13</v>
      </c>
      <c r="L28" s="2" t="s">
        <v>19</v>
      </c>
      <c r="M28" s="8">
        <v>3</v>
      </c>
      <c r="N28" s="20">
        <v>46.812642097473102</v>
      </c>
      <c r="O28" t="str">
        <f>INDEX(Datos!$C$4:$C$9,MATCH(J28,Datos!$B$4:$B$9,0),1)</f>
        <v>Ofertas para ti</v>
      </c>
    </row>
    <row r="29" spans="2:15" x14ac:dyDescent="0.25">
      <c r="B29" s="1" t="s">
        <v>15</v>
      </c>
      <c r="C29" s="8" t="s">
        <v>19</v>
      </c>
      <c r="D29" s="8" t="s">
        <v>31</v>
      </c>
      <c r="E29" s="8">
        <v>638</v>
      </c>
      <c r="F29" s="33">
        <v>15728.369644403499</v>
      </c>
      <c r="G29" s="52" t="str">
        <f>INDEX(Datos!$C$4:$C$9,MATCH(D29,Datos!$B$4:$B$9,0),1)</f>
        <v>Ofertas para ti</v>
      </c>
      <c r="H29" s="52" t="str">
        <f t="shared" si="0"/>
        <v>RD Landing</v>
      </c>
      <c r="J29" s="8" t="s">
        <v>31</v>
      </c>
      <c r="K29" s="8" t="s">
        <v>14</v>
      </c>
      <c r="L29" s="2" t="s">
        <v>19</v>
      </c>
      <c r="M29" s="8">
        <v>28</v>
      </c>
      <c r="N29" s="20">
        <v>717.61020016670204</v>
      </c>
      <c r="O29" t="str">
        <f>INDEX(Datos!$C$4:$C$9,MATCH(J29,Datos!$B$4:$B$9,0),1)</f>
        <v>Ofertas para ti</v>
      </c>
    </row>
    <row r="30" spans="2:15" x14ac:dyDescent="0.25">
      <c r="B30" s="1" t="s">
        <v>15</v>
      </c>
      <c r="C30" s="8" t="s">
        <v>19</v>
      </c>
      <c r="D30" s="8" t="s">
        <v>31</v>
      </c>
      <c r="E30" s="8">
        <v>2569</v>
      </c>
      <c r="F30" s="33">
        <v>73754.655967593193</v>
      </c>
      <c r="G30" s="52" t="str">
        <f>INDEX(Datos!$C$4:$C$9,MATCH(D30,Datos!$B$4:$B$9,0),1)</f>
        <v>Ofertas para ti</v>
      </c>
      <c r="H30" s="52" t="str">
        <f t="shared" si="0"/>
        <v>RD Landing</v>
      </c>
      <c r="J30" s="8" t="s">
        <v>31</v>
      </c>
      <c r="K30" s="8" t="s">
        <v>15</v>
      </c>
      <c r="L30" s="2" t="s">
        <v>19</v>
      </c>
      <c r="M30" s="8">
        <v>6</v>
      </c>
      <c r="N30" s="20">
        <v>145.168331861496</v>
      </c>
      <c r="O30" t="str">
        <f>INDEX(Datos!$C$4:$C$9,MATCH(J30,Datos!$B$4:$B$9,0),1)</f>
        <v>Ofertas para ti</v>
      </c>
    </row>
    <row r="31" spans="2:15" x14ac:dyDescent="0.25">
      <c r="B31" s="3" t="s">
        <v>15</v>
      </c>
      <c r="C31" s="9" t="s">
        <v>19</v>
      </c>
      <c r="D31" s="9" t="s">
        <v>31</v>
      </c>
      <c r="E31" s="9">
        <v>6</v>
      </c>
      <c r="F31" s="35">
        <v>145.168331861496</v>
      </c>
      <c r="G31" s="52" t="str">
        <f>INDEX(Datos!$C$4:$C$9,MATCH(D31,Datos!$B$4:$B$9,0),1)</f>
        <v>Ofertas para ti</v>
      </c>
      <c r="H31" s="52" t="str">
        <f t="shared" si="0"/>
        <v>RD Landing</v>
      </c>
      <c r="J31" s="9" t="s">
        <v>31</v>
      </c>
      <c r="K31" s="9" t="s">
        <v>14</v>
      </c>
      <c r="L31" s="4" t="s">
        <v>19</v>
      </c>
      <c r="M31" s="9">
        <v>2114</v>
      </c>
      <c r="N31" s="21">
        <v>58267.078411102302</v>
      </c>
      <c r="O31" t="str">
        <f>INDEX(Datos!$C$4:$C$9,MATCH(J31,Datos!$B$4:$B$9,0),1)</f>
        <v>Ofertas para ti</v>
      </c>
    </row>
    <row r="32" spans="2:15" x14ac:dyDescent="0.25">
      <c r="F32" s="32">
        <f>SUM(F5:F31)</f>
        <v>413693.6986904834</v>
      </c>
      <c r="N32" s="32">
        <f>SUM(N5:N31)</f>
        <v>413693.69869048335</v>
      </c>
    </row>
    <row r="34" spans="1:5" x14ac:dyDescent="0.25">
      <c r="A34" t="s">
        <v>10</v>
      </c>
      <c r="B34" t="s">
        <v>11</v>
      </c>
    </row>
    <row r="36" spans="1:5" x14ac:dyDescent="0.25">
      <c r="B36" s="5" t="s">
        <v>12</v>
      </c>
      <c r="C36" s="7" t="s">
        <v>16</v>
      </c>
      <c r="D36" s="6" t="s">
        <v>17</v>
      </c>
      <c r="E36" s="7" t="s">
        <v>18</v>
      </c>
    </row>
    <row r="37" spans="1:5" x14ac:dyDescent="0.25">
      <c r="B37" s="1" t="s">
        <v>13</v>
      </c>
      <c r="C37" s="8">
        <v>1264</v>
      </c>
      <c r="D37" s="2">
        <v>6834</v>
      </c>
      <c r="E37" s="13">
        <f>C37/D37</f>
        <v>0.18495756511559847</v>
      </c>
    </row>
    <row r="38" spans="1:5" x14ac:dyDescent="0.25">
      <c r="B38" s="1" t="s">
        <v>14</v>
      </c>
      <c r="C38" s="8">
        <v>8149</v>
      </c>
      <c r="D38" s="2">
        <v>28754</v>
      </c>
      <c r="E38" s="13">
        <f t="shared" ref="E38:E40" si="1">C38/D38</f>
        <v>0.28340404813243375</v>
      </c>
    </row>
    <row r="39" spans="1:5" x14ac:dyDescent="0.25">
      <c r="B39" s="1" t="s">
        <v>15</v>
      </c>
      <c r="C39" s="8">
        <v>6805</v>
      </c>
      <c r="D39" s="2">
        <v>24247</v>
      </c>
      <c r="E39" s="13">
        <f t="shared" si="1"/>
        <v>0.28065327669402401</v>
      </c>
    </row>
    <row r="40" spans="1:5" x14ac:dyDescent="0.25">
      <c r="B40" s="15" t="s">
        <v>20</v>
      </c>
      <c r="C40" s="16">
        <f>SUM(C37:C39)</f>
        <v>16218</v>
      </c>
      <c r="D40" s="17">
        <f>SUM(D37:D39)</f>
        <v>59835</v>
      </c>
      <c r="E40" s="18">
        <f t="shared" si="1"/>
        <v>0.27104537478064678</v>
      </c>
    </row>
    <row r="44" spans="1:5" x14ac:dyDescent="0.25">
      <c r="B44" s="30" t="s">
        <v>32</v>
      </c>
      <c r="C44" t="s">
        <v>34</v>
      </c>
    </row>
    <row r="45" spans="1:5" x14ac:dyDescent="0.25">
      <c r="B45" s="31" t="s">
        <v>31</v>
      </c>
      <c r="C45" s="32">
        <v>185095.45655224012</v>
      </c>
    </row>
    <row r="46" spans="1:5" x14ac:dyDescent="0.25">
      <c r="B46" s="31" t="s">
        <v>26</v>
      </c>
      <c r="C46" s="32">
        <v>81380.727070212306</v>
      </c>
    </row>
    <row r="47" spans="1:5" x14ac:dyDescent="0.25">
      <c r="B47" s="31" t="s">
        <v>22</v>
      </c>
      <c r="C47" s="32">
        <v>56117.902339696899</v>
      </c>
      <c r="D47" t="s">
        <v>38</v>
      </c>
    </row>
    <row r="48" spans="1:5" x14ac:dyDescent="0.25">
      <c r="B48" s="31" t="s">
        <v>23</v>
      </c>
      <c r="C48" s="32">
        <v>47543.624084029434</v>
      </c>
    </row>
    <row r="49" spans="2:4" x14ac:dyDescent="0.25">
      <c r="B49" s="31" t="s">
        <v>24</v>
      </c>
      <c r="C49" s="32">
        <v>40093.246192574465</v>
      </c>
      <c r="D49" t="s">
        <v>38</v>
      </c>
    </row>
    <row r="50" spans="2:4" x14ac:dyDescent="0.25">
      <c r="B50" s="31" t="s">
        <v>27</v>
      </c>
      <c r="C50" s="32">
        <v>3462.7424517301802</v>
      </c>
    </row>
    <row r="51" spans="2:4" x14ac:dyDescent="0.25">
      <c r="B51" s="31" t="s">
        <v>33</v>
      </c>
      <c r="C51" s="32">
        <v>413693.6986904834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4"/>
  <sheetViews>
    <sheetView workbookViewId="0">
      <selection activeCell="H10" sqref="H10"/>
    </sheetView>
  </sheetViews>
  <sheetFormatPr baseColWidth="10" defaultRowHeight="15" x14ac:dyDescent="0.25"/>
  <cols>
    <col min="1" max="1" width="3.140625" bestFit="1" customWidth="1"/>
    <col min="2" max="2" width="41.85546875" bestFit="1" customWidth="1"/>
    <col min="3" max="3" width="13.85546875" bestFit="1" customWidth="1"/>
    <col min="4" max="4" width="24" bestFit="1" customWidth="1"/>
    <col min="5" max="5" width="11.140625" bestFit="1" customWidth="1"/>
    <col min="6" max="6" width="15.28515625" bestFit="1" customWidth="1"/>
    <col min="10" max="10" width="24" bestFit="1" customWidth="1"/>
    <col min="11" max="11" width="14.5703125" bestFit="1" customWidth="1"/>
    <col min="12" max="12" width="11.5703125" bestFit="1" customWidth="1"/>
    <col min="13" max="13" width="11.140625" bestFit="1" customWidth="1"/>
    <col min="14" max="14" width="15.28515625" bestFit="1" customWidth="1"/>
  </cols>
  <sheetData>
    <row r="2" spans="1:15" x14ac:dyDescent="0.25">
      <c r="A2" s="19" t="s">
        <v>0</v>
      </c>
      <c r="B2" t="s">
        <v>1</v>
      </c>
    </row>
    <row r="4" spans="1:15" x14ac:dyDescent="0.25">
      <c r="B4" s="10" t="s">
        <v>12</v>
      </c>
      <c r="C4" s="11" t="s">
        <v>2</v>
      </c>
      <c r="D4" s="12" t="s">
        <v>21</v>
      </c>
      <c r="E4" s="11" t="s">
        <v>3</v>
      </c>
      <c r="F4" s="22" t="s">
        <v>4</v>
      </c>
      <c r="G4" s="42" t="s">
        <v>41</v>
      </c>
      <c r="H4" s="6" t="s">
        <v>42</v>
      </c>
      <c r="I4" s="6"/>
      <c r="J4" s="10" t="s">
        <v>21</v>
      </c>
      <c r="K4" s="11" t="s">
        <v>12</v>
      </c>
      <c r="L4" s="12" t="s">
        <v>2</v>
      </c>
      <c r="M4" s="24" t="s">
        <v>3</v>
      </c>
      <c r="N4" s="22" t="s">
        <v>4</v>
      </c>
      <c r="O4" s="42" t="s">
        <v>41</v>
      </c>
    </row>
    <row r="5" spans="1:15" x14ac:dyDescent="0.25">
      <c r="B5" s="1" t="s">
        <v>13</v>
      </c>
      <c r="C5" s="8" t="s">
        <v>5</v>
      </c>
      <c r="D5" s="2" t="s">
        <v>27</v>
      </c>
      <c r="E5" s="8">
        <v>505</v>
      </c>
      <c r="F5" s="20">
        <v>5298.2944364547702</v>
      </c>
      <c r="G5" t="str">
        <f>INDEX(Datos!$C$4:$C$10,MATCH(D5,Datos!$B$4:$B$10,0),1)</f>
        <v>Ofertas para ti</v>
      </c>
      <c r="H5" t="str">
        <f>IF(C5="General","Contenedor",C5)</f>
        <v>Contenedor</v>
      </c>
      <c r="J5" s="1" t="s">
        <v>28</v>
      </c>
      <c r="K5" s="8" t="s">
        <v>14</v>
      </c>
      <c r="L5" s="2" t="s">
        <v>7</v>
      </c>
      <c r="M5" s="25">
        <v>349</v>
      </c>
      <c r="N5" s="20">
        <v>6232.8491727709797</v>
      </c>
      <c r="O5" t="str">
        <f>INDEX(Datos!$C$4:$C$10,MATCH(J5,Datos!$B$4:$B$10,0),1)</f>
        <v>ShowRoom</v>
      </c>
    </row>
    <row r="6" spans="1:15" x14ac:dyDescent="0.25">
      <c r="B6" s="1" t="s">
        <v>13</v>
      </c>
      <c r="C6" s="8" t="s">
        <v>6</v>
      </c>
      <c r="D6" s="2" t="s">
        <v>22</v>
      </c>
      <c r="E6" s="8">
        <v>591</v>
      </c>
      <c r="F6" s="20">
        <v>9413.5246951579993</v>
      </c>
      <c r="G6" t="str">
        <f>INDEX(Datos!$C$4:$C$10,MATCH(D6,Datos!$B$4:$B$10,0),1)</f>
        <v>Oferta del Día</v>
      </c>
      <c r="H6" t="str">
        <f t="shared" ref="H6:H33" si="0">IF(C6="General","Contenedor",C6)</f>
        <v>Contenedor</v>
      </c>
      <c r="J6" s="1" t="s">
        <v>9</v>
      </c>
      <c r="K6" s="8" t="s">
        <v>14</v>
      </c>
      <c r="L6" s="2" t="s">
        <v>29</v>
      </c>
      <c r="M6" s="25">
        <v>3101</v>
      </c>
      <c r="N6" s="20">
        <v>60248.631955087199</v>
      </c>
      <c r="O6" t="str">
        <f>INDEX(Datos!$C$4:$C$10,MATCH(J6,Datos!$B$4:$B$10,0),1)</f>
        <v>ShowRoom</v>
      </c>
    </row>
    <row r="7" spans="1:15" x14ac:dyDescent="0.25">
      <c r="B7" s="1" t="s">
        <v>13</v>
      </c>
      <c r="C7" s="8" t="s">
        <v>7</v>
      </c>
      <c r="D7" s="2" t="s">
        <v>27</v>
      </c>
      <c r="E7" s="8">
        <v>1</v>
      </c>
      <c r="F7" s="20">
        <v>5.4621539115905797</v>
      </c>
      <c r="G7" t="str">
        <f>INDEX(Datos!$C$4:$C$10,MATCH(D7,Datos!$B$4:$B$10,0),1)</f>
        <v>Ofertas para ti</v>
      </c>
      <c r="H7" t="str">
        <f t="shared" si="0"/>
        <v>Home</v>
      </c>
      <c r="J7" s="1" t="s">
        <v>22</v>
      </c>
      <c r="K7" s="8" t="s">
        <v>13</v>
      </c>
      <c r="L7" s="2" t="s">
        <v>6</v>
      </c>
      <c r="M7" s="25">
        <v>591</v>
      </c>
      <c r="N7" s="20">
        <v>9413.5246951579993</v>
      </c>
      <c r="O7" t="str">
        <f>INDEX(Datos!$C$4:$C$10,MATCH(J7,Datos!$B$4:$B$10,0),1)</f>
        <v>Oferta del Día</v>
      </c>
    </row>
    <row r="8" spans="1:15" x14ac:dyDescent="0.25">
      <c r="B8" s="1" t="s">
        <v>13</v>
      </c>
      <c r="C8" s="8" t="s">
        <v>7</v>
      </c>
      <c r="D8" s="2" t="s">
        <v>23</v>
      </c>
      <c r="E8" s="8">
        <v>2</v>
      </c>
      <c r="F8" s="20">
        <v>18.276748180389401</v>
      </c>
      <c r="G8" t="str">
        <f>INDEX(Datos!$C$4:$C$10,MATCH(D8,Datos!$B$4:$B$10,0),1)</f>
        <v>Ofertas para ti</v>
      </c>
      <c r="H8" t="str">
        <f t="shared" si="0"/>
        <v>Home</v>
      </c>
      <c r="J8" s="1" t="s">
        <v>22</v>
      </c>
      <c r="K8" s="8" t="s">
        <v>14</v>
      </c>
      <c r="L8" s="2" t="s">
        <v>6</v>
      </c>
      <c r="M8" s="25">
        <v>1093</v>
      </c>
      <c r="N8" s="20">
        <v>16405.201761007302</v>
      </c>
      <c r="O8" t="str">
        <f>INDEX(Datos!$C$4:$C$10,MATCH(J8,Datos!$B$4:$B$10,0),1)</f>
        <v>Oferta del Día</v>
      </c>
    </row>
    <row r="9" spans="1:15" x14ac:dyDescent="0.25">
      <c r="B9" s="1" t="s">
        <v>13</v>
      </c>
      <c r="C9" s="8" t="s">
        <v>8</v>
      </c>
      <c r="D9" s="2" t="s">
        <v>24</v>
      </c>
      <c r="E9" s="8">
        <v>189</v>
      </c>
      <c r="F9" s="20">
        <v>1861.4786350727099</v>
      </c>
      <c r="G9" t="str">
        <f>INDEX(Datos!$C$4:$C$10,MATCH(D9,Datos!$B$4:$B$10,0),1)</f>
        <v>Oferta Final</v>
      </c>
      <c r="H9" t="str">
        <f t="shared" si="0"/>
        <v>Pedido</v>
      </c>
      <c r="J9" s="1" t="s">
        <v>22</v>
      </c>
      <c r="K9" s="8" t="s">
        <v>14</v>
      </c>
      <c r="L9" s="2" t="s">
        <v>7</v>
      </c>
      <c r="M9" s="25">
        <v>148</v>
      </c>
      <c r="N9" s="20">
        <v>2188.0340063571898</v>
      </c>
      <c r="O9" t="str">
        <f>INDEX(Datos!$C$4:$C$10,MATCH(J9,Datos!$B$4:$B$10,0),1)</f>
        <v>Oferta del Día</v>
      </c>
    </row>
    <row r="10" spans="1:15" x14ac:dyDescent="0.25">
      <c r="B10" s="1" t="s">
        <v>13</v>
      </c>
      <c r="C10" s="8" t="s">
        <v>19</v>
      </c>
      <c r="D10" s="2" t="s">
        <v>31</v>
      </c>
      <c r="E10" s="8">
        <v>21</v>
      </c>
      <c r="F10" s="20">
        <v>228.70249509811401</v>
      </c>
      <c r="G10" t="str">
        <f>INDEX(Datos!$C$4:$C$10,MATCH(D10,Datos!$B$4:$B$10,0),1)</f>
        <v>Ofertas para ti</v>
      </c>
      <c r="H10" t="str">
        <f t="shared" si="0"/>
        <v>RD Landing</v>
      </c>
      <c r="J10" s="1" t="s">
        <v>22</v>
      </c>
      <c r="K10" s="8" t="s">
        <v>14</v>
      </c>
      <c r="L10" s="2" t="s">
        <v>8</v>
      </c>
      <c r="M10" s="25">
        <v>493</v>
      </c>
      <c r="N10" s="20">
        <v>7422.3559026718103</v>
      </c>
      <c r="O10" t="str">
        <f>INDEX(Datos!$C$4:$C$10,MATCH(J10,Datos!$B$4:$B$10,0),1)</f>
        <v>Oferta del Día</v>
      </c>
    </row>
    <row r="11" spans="1:15" x14ac:dyDescent="0.25">
      <c r="B11" s="1" t="s">
        <v>13</v>
      </c>
      <c r="C11" s="8" t="s">
        <v>25</v>
      </c>
      <c r="D11" s="2" t="s">
        <v>9</v>
      </c>
      <c r="E11" s="8">
        <v>638</v>
      </c>
      <c r="F11" s="20">
        <v>12363.2841030359</v>
      </c>
      <c r="G11" t="str">
        <f>INDEX(Datos!$C$4:$C$10,MATCH(D11,Datos!$B$4:$B$10,0),1)</f>
        <v>ShowRoom</v>
      </c>
      <c r="H11" t="str">
        <f t="shared" si="0"/>
        <v>Product Page</v>
      </c>
      <c r="J11" s="1" t="s">
        <v>22</v>
      </c>
      <c r="K11" s="8" t="s">
        <v>15</v>
      </c>
      <c r="L11" s="2" t="s">
        <v>6</v>
      </c>
      <c r="M11" s="25">
        <v>775</v>
      </c>
      <c r="N11" s="20">
        <v>12038.8033409119</v>
      </c>
      <c r="O11" t="str">
        <f>INDEX(Datos!$C$4:$C$10,MATCH(J11,Datos!$B$4:$B$10,0),1)</f>
        <v>Oferta del Día</v>
      </c>
    </row>
    <row r="12" spans="1:15" x14ac:dyDescent="0.25">
      <c r="B12" s="1" t="s">
        <v>14</v>
      </c>
      <c r="C12" s="8" t="s">
        <v>5</v>
      </c>
      <c r="D12" s="2" t="s">
        <v>27</v>
      </c>
      <c r="E12" s="8">
        <v>969</v>
      </c>
      <c r="F12" s="20">
        <v>9455.3011736869794</v>
      </c>
      <c r="G12" t="str">
        <f>INDEX(Datos!$C$4:$C$10,MATCH(D12,Datos!$B$4:$B$10,0),1)</f>
        <v>Ofertas para ti</v>
      </c>
      <c r="H12" t="str">
        <f t="shared" si="0"/>
        <v>Contenedor</v>
      </c>
      <c r="J12" s="1" t="s">
        <v>24</v>
      </c>
      <c r="K12" s="8" t="s">
        <v>13</v>
      </c>
      <c r="L12" s="2" t="s">
        <v>8</v>
      </c>
      <c r="M12" s="25">
        <v>189</v>
      </c>
      <c r="N12" s="20">
        <v>1861.4786350727099</v>
      </c>
      <c r="O12" t="str">
        <f>INDEX(Datos!$C$4:$C$10,MATCH(J12,Datos!$B$4:$B$10,0),1)</f>
        <v>Oferta Final</v>
      </c>
    </row>
    <row r="13" spans="1:15" x14ac:dyDescent="0.25">
      <c r="B13" s="1" t="s">
        <v>14</v>
      </c>
      <c r="C13" s="8" t="s">
        <v>5</v>
      </c>
      <c r="D13" s="2" t="s">
        <v>23</v>
      </c>
      <c r="E13" s="8">
        <v>30</v>
      </c>
      <c r="F13" s="20">
        <v>326.96435260772699</v>
      </c>
      <c r="G13" t="str">
        <f>INDEX(Datos!$C$4:$C$10,MATCH(D13,Datos!$B$4:$B$10,0),1)</f>
        <v>Ofertas para ti</v>
      </c>
      <c r="H13" t="str">
        <f t="shared" si="0"/>
        <v>Contenedor</v>
      </c>
      <c r="J13" s="1" t="s">
        <v>24</v>
      </c>
      <c r="K13" s="8" t="s">
        <v>14</v>
      </c>
      <c r="L13" s="2" t="s">
        <v>8</v>
      </c>
      <c r="M13" s="25">
        <v>539</v>
      </c>
      <c r="N13" s="20">
        <v>5657.8223035335504</v>
      </c>
      <c r="O13" t="str">
        <f>INDEX(Datos!$C$4:$C$10,MATCH(J13,Datos!$B$4:$B$10,0),1)</f>
        <v>Oferta Final</v>
      </c>
    </row>
    <row r="14" spans="1:15" x14ac:dyDescent="0.25">
      <c r="B14" s="1" t="s">
        <v>14</v>
      </c>
      <c r="C14" s="8" t="s">
        <v>5</v>
      </c>
      <c r="D14" s="2" t="s">
        <v>9</v>
      </c>
      <c r="E14" s="8">
        <v>703</v>
      </c>
      <c r="F14" s="20">
        <v>12258.5708338022</v>
      </c>
      <c r="G14" t="str">
        <f>INDEX(Datos!$C$4:$C$10,MATCH(D14,Datos!$B$4:$B$10,0),1)</f>
        <v>ShowRoom</v>
      </c>
      <c r="H14" t="str">
        <f t="shared" si="0"/>
        <v>Contenedor</v>
      </c>
      <c r="J14" s="1" t="s">
        <v>24</v>
      </c>
      <c r="K14" s="8" t="s">
        <v>15</v>
      </c>
      <c r="L14" s="2" t="s">
        <v>8</v>
      </c>
      <c r="M14" s="25">
        <v>400</v>
      </c>
      <c r="N14" s="20">
        <v>3826.43571352959</v>
      </c>
      <c r="O14" t="str">
        <f>INDEX(Datos!$C$4:$C$10,MATCH(J14,Datos!$B$4:$B$10,0),1)</f>
        <v>Oferta Final</v>
      </c>
    </row>
    <row r="15" spans="1:15" x14ac:dyDescent="0.25">
      <c r="B15" s="1" t="s">
        <v>14</v>
      </c>
      <c r="C15" s="8" t="s">
        <v>6</v>
      </c>
      <c r="D15" s="2" t="s">
        <v>22</v>
      </c>
      <c r="E15" s="8">
        <v>1093</v>
      </c>
      <c r="F15" s="20">
        <v>16405.201761007302</v>
      </c>
      <c r="G15" t="str">
        <f>INDEX(Datos!$C$4:$C$10,MATCH(D15,Datos!$B$4:$B$10,0),1)</f>
        <v>Oferta del Día</v>
      </c>
      <c r="H15" t="str">
        <f t="shared" si="0"/>
        <v>Contenedor</v>
      </c>
      <c r="J15" s="1" t="s">
        <v>27</v>
      </c>
      <c r="K15" s="8" t="s">
        <v>13</v>
      </c>
      <c r="L15" s="2" t="s">
        <v>5</v>
      </c>
      <c r="M15" s="25">
        <v>505</v>
      </c>
      <c r="N15" s="20">
        <v>5298.2944364547702</v>
      </c>
      <c r="O15" t="str">
        <f>INDEX(Datos!$C$4:$C$10,MATCH(J15,Datos!$B$4:$B$10,0),1)</f>
        <v>Ofertas para ti</v>
      </c>
    </row>
    <row r="16" spans="1:15" x14ac:dyDescent="0.25">
      <c r="B16" s="1" t="s">
        <v>14</v>
      </c>
      <c r="C16" s="8" t="s">
        <v>7</v>
      </c>
      <c r="D16" s="2" t="s">
        <v>22</v>
      </c>
      <c r="E16" s="8">
        <v>148</v>
      </c>
      <c r="F16" s="20">
        <v>2188.0340063571898</v>
      </c>
      <c r="G16" t="str">
        <f>INDEX(Datos!$C$4:$C$10,MATCH(D16,Datos!$B$4:$B$10,0),1)</f>
        <v>Oferta del Día</v>
      </c>
      <c r="H16" t="str">
        <f t="shared" si="0"/>
        <v>Home</v>
      </c>
      <c r="J16" s="1" t="s">
        <v>27</v>
      </c>
      <c r="K16" s="8" t="s">
        <v>13</v>
      </c>
      <c r="L16" s="2" t="s">
        <v>7</v>
      </c>
      <c r="M16" s="25">
        <v>1</v>
      </c>
      <c r="N16" s="20">
        <v>5.4621539115905797</v>
      </c>
      <c r="O16" t="str">
        <f>INDEX(Datos!$C$4:$C$10,MATCH(J16,Datos!$B$4:$B$10,0),1)</f>
        <v>Ofertas para ti</v>
      </c>
    </row>
    <row r="17" spans="2:15" x14ac:dyDescent="0.25">
      <c r="B17" s="1" t="s">
        <v>14</v>
      </c>
      <c r="C17" s="8" t="s">
        <v>7</v>
      </c>
      <c r="D17" s="2" t="s">
        <v>27</v>
      </c>
      <c r="E17" s="8">
        <v>370</v>
      </c>
      <c r="F17" s="20">
        <v>3516.6487464904799</v>
      </c>
      <c r="G17" t="str">
        <f>INDEX(Datos!$C$4:$C$10,MATCH(D17,Datos!$B$4:$B$10,0),1)</f>
        <v>Ofertas para ti</v>
      </c>
      <c r="H17" t="str">
        <f t="shared" si="0"/>
        <v>Home</v>
      </c>
      <c r="J17" s="1" t="s">
        <v>27</v>
      </c>
      <c r="K17" s="8" t="s">
        <v>14</v>
      </c>
      <c r="L17" s="2" t="s">
        <v>5</v>
      </c>
      <c r="M17" s="25">
        <v>969</v>
      </c>
      <c r="N17" s="20">
        <v>9455.3011736869794</v>
      </c>
      <c r="O17" t="str">
        <f>INDEX(Datos!$C$4:$C$10,MATCH(J17,Datos!$B$4:$B$10,0),1)</f>
        <v>Ofertas para ti</v>
      </c>
    </row>
    <row r="18" spans="2:15" x14ac:dyDescent="0.25">
      <c r="B18" s="1" t="s">
        <v>14</v>
      </c>
      <c r="C18" s="8" t="s">
        <v>8</v>
      </c>
      <c r="D18" s="2" t="s">
        <v>22</v>
      </c>
      <c r="E18" s="8">
        <v>493</v>
      </c>
      <c r="F18" s="20">
        <v>7422.3559026718103</v>
      </c>
      <c r="G18" t="str">
        <f>INDEX(Datos!$C$4:$C$10,MATCH(D18,Datos!$B$4:$B$10,0),1)</f>
        <v>Oferta del Día</v>
      </c>
      <c r="H18" t="str">
        <f t="shared" si="0"/>
        <v>Pedido</v>
      </c>
      <c r="J18" s="1" t="s">
        <v>27</v>
      </c>
      <c r="K18" s="8" t="s">
        <v>14</v>
      </c>
      <c r="L18" s="2" t="s">
        <v>7</v>
      </c>
      <c r="M18" s="25">
        <v>370</v>
      </c>
      <c r="N18" s="20">
        <v>3516.6487464904799</v>
      </c>
      <c r="O18" t="str">
        <f>INDEX(Datos!$C$4:$C$10,MATCH(J18,Datos!$B$4:$B$10,0),1)</f>
        <v>Ofertas para ti</v>
      </c>
    </row>
    <row r="19" spans="2:15" x14ac:dyDescent="0.25">
      <c r="B19" s="1" t="s">
        <v>14</v>
      </c>
      <c r="C19" s="8" t="s">
        <v>8</v>
      </c>
      <c r="D19" s="2" t="s">
        <v>24</v>
      </c>
      <c r="E19" s="8">
        <v>539</v>
      </c>
      <c r="F19" s="20">
        <v>5657.8223035335504</v>
      </c>
      <c r="G19" t="str">
        <f>INDEX(Datos!$C$4:$C$10,MATCH(D19,Datos!$B$4:$B$10,0),1)</f>
        <v>Oferta Final</v>
      </c>
      <c r="H19" t="str">
        <f t="shared" si="0"/>
        <v>Pedido</v>
      </c>
      <c r="J19" s="1" t="s">
        <v>27</v>
      </c>
      <c r="K19" s="8" t="s">
        <v>14</v>
      </c>
      <c r="L19" s="2" t="s">
        <v>8</v>
      </c>
      <c r="M19" s="25">
        <v>2270</v>
      </c>
      <c r="N19" s="20">
        <v>22406.381796121601</v>
      </c>
      <c r="O19" t="str">
        <f>INDEX(Datos!$C$4:$C$10,MATCH(J19,Datos!$B$4:$B$10,0),1)</f>
        <v>Ofertas para ti</v>
      </c>
    </row>
    <row r="20" spans="2:15" x14ac:dyDescent="0.25">
      <c r="B20" s="1" t="s">
        <v>14</v>
      </c>
      <c r="C20" s="8" t="s">
        <v>8</v>
      </c>
      <c r="D20" s="2" t="s">
        <v>27</v>
      </c>
      <c r="E20" s="8">
        <v>2270</v>
      </c>
      <c r="F20" s="20">
        <v>22406.381796121601</v>
      </c>
      <c r="G20" t="str">
        <f>INDEX(Datos!$C$4:$C$10,MATCH(D20,Datos!$B$4:$B$10,0),1)</f>
        <v>Ofertas para ti</v>
      </c>
      <c r="H20" t="str">
        <f t="shared" si="0"/>
        <v>Pedido</v>
      </c>
      <c r="J20" s="1" t="s">
        <v>27</v>
      </c>
      <c r="K20" s="8" t="s">
        <v>15</v>
      </c>
      <c r="L20" s="2" t="s">
        <v>5</v>
      </c>
      <c r="M20" s="25">
        <v>721</v>
      </c>
      <c r="N20" s="20">
        <v>7328.57881784439</v>
      </c>
      <c r="O20" t="str">
        <f>INDEX(Datos!$C$4:$C$10,MATCH(J20,Datos!$B$4:$B$10,0),1)</f>
        <v>Ofertas para ti</v>
      </c>
    </row>
    <row r="21" spans="2:15" x14ac:dyDescent="0.25">
      <c r="B21" s="1" t="s">
        <v>14</v>
      </c>
      <c r="C21" s="8" t="s">
        <v>8</v>
      </c>
      <c r="D21" s="2" t="s">
        <v>23</v>
      </c>
      <c r="E21" s="8">
        <v>259</v>
      </c>
      <c r="F21" s="20">
        <v>2656.0362381935101</v>
      </c>
      <c r="G21" t="str">
        <f>INDEX(Datos!$C$4:$C$10,MATCH(D21,Datos!$B$4:$B$10,0),1)</f>
        <v>Ofertas para ti</v>
      </c>
      <c r="H21" t="str">
        <f t="shared" si="0"/>
        <v>Pedido</v>
      </c>
      <c r="J21" s="1" t="s">
        <v>27</v>
      </c>
      <c r="K21" s="8" t="s">
        <v>15</v>
      </c>
      <c r="L21" s="2" t="s">
        <v>7</v>
      </c>
      <c r="M21" s="25">
        <v>493</v>
      </c>
      <c r="N21" s="20">
        <v>5342.8342142105103</v>
      </c>
      <c r="O21" t="str">
        <f>INDEX(Datos!$C$4:$C$10,MATCH(J21,Datos!$B$4:$B$10,0),1)</f>
        <v>Ofertas para ti</v>
      </c>
    </row>
    <row r="22" spans="2:15" x14ac:dyDescent="0.25">
      <c r="B22" s="1" t="s">
        <v>14</v>
      </c>
      <c r="C22" s="8" t="s">
        <v>19</v>
      </c>
      <c r="D22" s="2" t="s">
        <v>31</v>
      </c>
      <c r="E22" s="8">
        <v>1</v>
      </c>
      <c r="F22" s="20">
        <v>5.5802092552185103</v>
      </c>
      <c r="G22" t="str">
        <f>INDEX(Datos!$C$4:$C$10,MATCH(D22,Datos!$B$4:$B$10,0),1)</f>
        <v>Ofertas para ti</v>
      </c>
      <c r="H22" t="str">
        <f t="shared" si="0"/>
        <v>RD Landing</v>
      </c>
      <c r="J22" s="1" t="s">
        <v>23</v>
      </c>
      <c r="K22" s="8" t="s">
        <v>13</v>
      </c>
      <c r="L22" s="2" t="s">
        <v>7</v>
      </c>
      <c r="M22" s="25">
        <v>2</v>
      </c>
      <c r="N22" s="20">
        <v>18.276748180389401</v>
      </c>
      <c r="O22" t="str">
        <f>INDEX(Datos!$C$4:$C$10,MATCH(J22,Datos!$B$4:$B$10,0),1)</f>
        <v>Ofertas para ti</v>
      </c>
    </row>
    <row r="23" spans="2:15" x14ac:dyDescent="0.25">
      <c r="B23" s="1" t="s">
        <v>14</v>
      </c>
      <c r="C23" s="8" t="s">
        <v>19</v>
      </c>
      <c r="D23" s="2" t="s">
        <v>31</v>
      </c>
      <c r="E23" s="8">
        <v>81</v>
      </c>
      <c r="F23" s="20">
        <v>783.37325167655899</v>
      </c>
      <c r="G23" t="str">
        <f>INDEX(Datos!$C$4:$C$10,MATCH(D23,Datos!$B$4:$B$10,0),1)</f>
        <v>Ofertas para ti</v>
      </c>
      <c r="H23" t="str">
        <f t="shared" si="0"/>
        <v>RD Landing</v>
      </c>
      <c r="J23" s="1" t="s">
        <v>23</v>
      </c>
      <c r="K23" s="8" t="s">
        <v>14</v>
      </c>
      <c r="L23" s="2" t="s">
        <v>5</v>
      </c>
      <c r="M23" s="25">
        <v>30</v>
      </c>
      <c r="N23" s="20">
        <v>326.96435260772699</v>
      </c>
      <c r="O23" t="str">
        <f>INDEX(Datos!$C$4:$C$10,MATCH(J23,Datos!$B$4:$B$10,0),1)</f>
        <v>Ofertas para ti</v>
      </c>
    </row>
    <row r="24" spans="2:15" x14ac:dyDescent="0.25">
      <c r="B24" s="1" t="s">
        <v>14</v>
      </c>
      <c r="C24" s="8" t="s">
        <v>7</v>
      </c>
      <c r="D24" s="2" t="s">
        <v>28</v>
      </c>
      <c r="E24" s="8">
        <v>349</v>
      </c>
      <c r="F24" s="20">
        <v>6232.8491727709797</v>
      </c>
      <c r="G24" t="str">
        <f>INDEX(Datos!$C$4:$C$10,MATCH(D24,Datos!$B$4:$B$10,0),1)</f>
        <v>ShowRoom</v>
      </c>
      <c r="H24" t="str">
        <f t="shared" si="0"/>
        <v>Home</v>
      </c>
      <c r="J24" s="1" t="s">
        <v>23</v>
      </c>
      <c r="K24" s="8" t="s">
        <v>14</v>
      </c>
      <c r="L24" s="2" t="s">
        <v>8</v>
      </c>
      <c r="M24" s="25">
        <v>259</v>
      </c>
      <c r="N24" s="20">
        <v>2656.0362381935101</v>
      </c>
      <c r="O24" t="str">
        <f>INDEX(Datos!$C$4:$C$10,MATCH(J24,Datos!$B$4:$B$10,0),1)</f>
        <v>Ofertas para ti</v>
      </c>
    </row>
    <row r="25" spans="2:15" x14ac:dyDescent="0.25">
      <c r="B25" s="1" t="s">
        <v>14</v>
      </c>
      <c r="C25" s="8" t="s">
        <v>29</v>
      </c>
      <c r="D25" s="2" t="s">
        <v>9</v>
      </c>
      <c r="E25" s="8">
        <v>3101</v>
      </c>
      <c r="F25" s="20">
        <v>60248.631955087199</v>
      </c>
      <c r="G25" t="str">
        <f>INDEX(Datos!$C$4:$C$10,MATCH(D25,Datos!$B$4:$B$10,0),1)</f>
        <v>ShowRoom</v>
      </c>
      <c r="H25" t="str">
        <f t="shared" si="0"/>
        <v>Landing Compra</v>
      </c>
      <c r="J25" s="1" t="s">
        <v>23</v>
      </c>
      <c r="K25" s="8" t="s">
        <v>15</v>
      </c>
      <c r="L25" s="2" t="s">
        <v>7</v>
      </c>
      <c r="M25" s="25">
        <v>57</v>
      </c>
      <c r="N25" s="20">
        <v>638.01621866226196</v>
      </c>
      <c r="O25" t="str">
        <f>INDEX(Datos!$C$4:$C$10,MATCH(J25,Datos!$B$4:$B$10,0),1)</f>
        <v>Ofertas para ti</v>
      </c>
    </row>
    <row r="26" spans="2:15" x14ac:dyDescent="0.25">
      <c r="B26" s="1" t="s">
        <v>14</v>
      </c>
      <c r="C26" s="8" t="s">
        <v>25</v>
      </c>
      <c r="D26" s="2" t="s">
        <v>9</v>
      </c>
      <c r="E26" s="8">
        <v>544</v>
      </c>
      <c r="F26" s="20">
        <v>7022.8959673643103</v>
      </c>
      <c r="G26" t="str">
        <f>INDEX(Datos!$C$4:$C$10,MATCH(D26,Datos!$B$4:$B$10,0),1)</f>
        <v>ShowRoom</v>
      </c>
      <c r="H26" t="str">
        <f t="shared" si="0"/>
        <v>Product Page</v>
      </c>
      <c r="J26" s="8" t="s">
        <v>31</v>
      </c>
      <c r="K26" s="8" t="s">
        <v>13</v>
      </c>
      <c r="L26" s="2" t="s">
        <v>19</v>
      </c>
      <c r="M26" s="25">
        <v>21</v>
      </c>
      <c r="N26" s="20">
        <v>228.70249509811401</v>
      </c>
      <c r="O26" t="str">
        <f>INDEX(Datos!$C$4:$C$10,MATCH(J26,Datos!$B$4:$B$10,0),1)</f>
        <v>Ofertas para ti</v>
      </c>
    </row>
    <row r="27" spans="2:15" x14ac:dyDescent="0.25">
      <c r="B27" s="1" t="s">
        <v>15</v>
      </c>
      <c r="C27" s="8" t="s">
        <v>5</v>
      </c>
      <c r="D27" s="2" t="s">
        <v>27</v>
      </c>
      <c r="E27" s="8">
        <v>721</v>
      </c>
      <c r="F27" s="20">
        <v>7328.57881784439</v>
      </c>
      <c r="G27" t="str">
        <f>INDEX(Datos!$C$4:$C$10,MATCH(D27,Datos!$B$4:$B$10,0),1)</f>
        <v>Ofertas para ti</v>
      </c>
      <c r="H27" t="str">
        <f t="shared" si="0"/>
        <v>Contenedor</v>
      </c>
      <c r="J27" s="8" t="s">
        <v>31</v>
      </c>
      <c r="K27" s="8" t="s">
        <v>14</v>
      </c>
      <c r="L27" s="2" t="s">
        <v>19</v>
      </c>
      <c r="M27" s="25">
        <v>1</v>
      </c>
      <c r="N27" s="20">
        <v>5.5802092552185103</v>
      </c>
      <c r="O27" t="str">
        <f>INDEX(Datos!$C$4:$C$10,MATCH(J27,Datos!$B$4:$B$10,0),1)</f>
        <v>Ofertas para ti</v>
      </c>
    </row>
    <row r="28" spans="2:15" x14ac:dyDescent="0.25">
      <c r="B28" s="1" t="s">
        <v>15</v>
      </c>
      <c r="C28" s="8" t="s">
        <v>6</v>
      </c>
      <c r="D28" s="2" t="s">
        <v>22</v>
      </c>
      <c r="E28" s="8">
        <v>775</v>
      </c>
      <c r="F28" s="20">
        <v>12038.8033409119</v>
      </c>
      <c r="G28" t="str">
        <f>INDEX(Datos!$C$4:$C$10,MATCH(D28,Datos!$B$4:$B$10,0),1)</f>
        <v>Oferta del Día</v>
      </c>
      <c r="H28" t="str">
        <f t="shared" si="0"/>
        <v>Contenedor</v>
      </c>
      <c r="J28" s="8" t="s">
        <v>31</v>
      </c>
      <c r="K28" s="8" t="s">
        <v>15</v>
      </c>
      <c r="L28" s="2" t="s">
        <v>19</v>
      </c>
      <c r="M28" s="25">
        <v>54</v>
      </c>
      <c r="N28" s="20">
        <v>591.57631063461304</v>
      </c>
      <c r="O28" t="str">
        <f>INDEX(Datos!$C$4:$C$10,MATCH(J28,Datos!$B$4:$B$10,0),1)</f>
        <v>Ofertas para ti</v>
      </c>
    </row>
    <row r="29" spans="2:15" x14ac:dyDescent="0.25">
      <c r="B29" s="1" t="s">
        <v>15</v>
      </c>
      <c r="C29" s="8" t="s">
        <v>7</v>
      </c>
      <c r="D29" s="2" t="s">
        <v>27</v>
      </c>
      <c r="E29" s="8">
        <v>493</v>
      </c>
      <c r="F29" s="20">
        <v>5342.8342142105103</v>
      </c>
      <c r="G29" t="str">
        <f>INDEX(Datos!$C$4:$C$10,MATCH(D29,Datos!$B$4:$B$10,0),1)</f>
        <v>Ofertas para ti</v>
      </c>
      <c r="H29" t="str">
        <f t="shared" si="0"/>
        <v>Home</v>
      </c>
      <c r="J29" s="1" t="s">
        <v>9</v>
      </c>
      <c r="K29" s="8" t="s">
        <v>13</v>
      </c>
      <c r="L29" s="2" t="s">
        <v>25</v>
      </c>
      <c r="M29" s="25">
        <v>638</v>
      </c>
      <c r="N29" s="20">
        <v>12363.2841030359</v>
      </c>
      <c r="O29" t="str">
        <f>INDEX(Datos!$C$4:$C$10,MATCH(J29,Datos!$B$4:$B$10,0),1)</f>
        <v>ShowRoom</v>
      </c>
    </row>
    <row r="30" spans="2:15" x14ac:dyDescent="0.25">
      <c r="B30" s="1" t="s">
        <v>15</v>
      </c>
      <c r="C30" s="8" t="s">
        <v>7</v>
      </c>
      <c r="D30" s="2" t="s">
        <v>23</v>
      </c>
      <c r="E30" s="8">
        <v>57</v>
      </c>
      <c r="F30" s="20">
        <v>638.01621866226196</v>
      </c>
      <c r="G30" t="str">
        <f>INDEX(Datos!$C$4:$C$10,MATCH(D30,Datos!$B$4:$B$10,0),1)</f>
        <v>Ofertas para ti</v>
      </c>
      <c r="H30" t="str">
        <f t="shared" si="0"/>
        <v>Home</v>
      </c>
      <c r="J30" s="8" t="s">
        <v>9</v>
      </c>
      <c r="K30" s="8" t="s">
        <v>14</v>
      </c>
      <c r="L30" s="2" t="s">
        <v>25</v>
      </c>
      <c r="M30" s="25">
        <v>544</v>
      </c>
      <c r="N30" s="20">
        <v>7022.8959673643103</v>
      </c>
      <c r="O30" t="str">
        <f>INDEX(Datos!$C$4:$C$10,MATCH(J30,Datos!$B$4:$B$10,0),1)</f>
        <v>ShowRoom</v>
      </c>
    </row>
    <row r="31" spans="2:15" x14ac:dyDescent="0.25">
      <c r="B31" s="1" t="s">
        <v>15</v>
      </c>
      <c r="C31" s="8" t="s">
        <v>8</v>
      </c>
      <c r="D31" s="2" t="s">
        <v>24</v>
      </c>
      <c r="E31" s="8">
        <v>400</v>
      </c>
      <c r="F31" s="20">
        <v>3826.43571352959</v>
      </c>
      <c r="G31" t="str">
        <f>INDEX(Datos!$C$4:$C$10,MATCH(D31,Datos!$B$4:$B$10,0),1)</f>
        <v>Oferta Final</v>
      </c>
      <c r="H31" t="str">
        <f t="shared" si="0"/>
        <v>Pedido</v>
      </c>
      <c r="J31" s="8" t="s">
        <v>9</v>
      </c>
      <c r="K31" s="8" t="s">
        <v>15</v>
      </c>
      <c r="L31" s="2" t="s">
        <v>25</v>
      </c>
      <c r="M31" s="25">
        <v>1682</v>
      </c>
      <c r="N31" s="20">
        <v>34356.172807157003</v>
      </c>
      <c r="O31" t="str">
        <f>INDEX(Datos!$C$4:$C$10,MATCH(J31,Datos!$B$4:$B$10,0),1)</f>
        <v>ShowRoom</v>
      </c>
    </row>
    <row r="32" spans="2:15" x14ac:dyDescent="0.25">
      <c r="B32" s="1" t="s">
        <v>15</v>
      </c>
      <c r="C32" s="8" t="s">
        <v>19</v>
      </c>
      <c r="D32" s="2" t="s">
        <v>31</v>
      </c>
      <c r="E32" s="8">
        <v>54</v>
      </c>
      <c r="F32" s="20">
        <v>591.57631063461304</v>
      </c>
      <c r="G32" t="str">
        <f>INDEX(Datos!$C$4:$C$10,MATCH(D32,Datos!$B$4:$B$10,0),1)</f>
        <v>Ofertas para ti</v>
      </c>
      <c r="H32" t="str">
        <f t="shared" si="0"/>
        <v>RD Landing</v>
      </c>
      <c r="J32" s="8" t="s">
        <v>31</v>
      </c>
      <c r="K32" s="8" t="s">
        <v>14</v>
      </c>
      <c r="L32" s="2" t="s">
        <v>19</v>
      </c>
      <c r="M32" s="25">
        <v>81</v>
      </c>
      <c r="N32" s="20">
        <v>783.37325167655899</v>
      </c>
      <c r="O32" t="str">
        <f>INDEX(Datos!$C$4:$C$10,MATCH(J32,Datos!$B$4:$B$10,0),1)</f>
        <v>Ofertas para ti</v>
      </c>
    </row>
    <row r="33" spans="1:15" x14ac:dyDescent="0.25">
      <c r="B33" s="3" t="s">
        <v>15</v>
      </c>
      <c r="C33" s="9" t="s">
        <v>25</v>
      </c>
      <c r="D33" s="4" t="s">
        <v>9</v>
      </c>
      <c r="E33" s="9">
        <v>1682</v>
      </c>
      <c r="F33" s="21">
        <v>34356.172807157003</v>
      </c>
      <c r="G33" t="str">
        <f>INDEX(Datos!$C$4:$C$10,MATCH(D33,Datos!$B$4:$B$10,0),1)</f>
        <v>ShowRoom</v>
      </c>
      <c r="H33" t="str">
        <f t="shared" si="0"/>
        <v>Product Page</v>
      </c>
      <c r="J33" s="9" t="s">
        <v>28</v>
      </c>
      <c r="K33" s="9" t="s">
        <v>14</v>
      </c>
      <c r="L33" s="4" t="s">
        <v>5</v>
      </c>
      <c r="M33" s="26">
        <v>703</v>
      </c>
      <c r="N33" s="21">
        <v>12258.5708338022</v>
      </c>
      <c r="O33" t="str">
        <f>INDEX(Datos!$C$4:$C$10,MATCH(J33,Datos!$B$4:$B$10,0),1)</f>
        <v>ShowRoom</v>
      </c>
    </row>
    <row r="34" spans="1:15" x14ac:dyDescent="0.25">
      <c r="F34" s="32">
        <f>SUM(F5:F33)</f>
        <v>249898.08836048836</v>
      </c>
      <c r="N34" s="32">
        <f>SUM(N5:N33)</f>
        <v>249898.08836048836</v>
      </c>
    </row>
    <row r="35" spans="1:15" x14ac:dyDescent="0.25">
      <c r="B35" s="28"/>
    </row>
    <row r="38" spans="1:15" x14ac:dyDescent="0.25">
      <c r="A38" s="19" t="s">
        <v>10</v>
      </c>
      <c r="B38" t="s">
        <v>11</v>
      </c>
    </row>
    <row r="40" spans="1:15" x14ac:dyDescent="0.25">
      <c r="B40" s="10" t="s">
        <v>12</v>
      </c>
      <c r="C40" s="11" t="s">
        <v>16</v>
      </c>
      <c r="D40" s="12" t="s">
        <v>17</v>
      </c>
      <c r="E40" s="11" t="s">
        <v>18</v>
      </c>
    </row>
    <row r="41" spans="1:15" x14ac:dyDescent="0.25">
      <c r="B41" s="1" t="s">
        <v>13</v>
      </c>
      <c r="C41" s="8">
        <v>1788</v>
      </c>
      <c r="D41" s="2">
        <v>23840</v>
      </c>
      <c r="E41" s="13">
        <f>C41/D41</f>
        <v>7.4999999999999997E-2</v>
      </c>
    </row>
    <row r="42" spans="1:15" x14ac:dyDescent="0.25">
      <c r="B42" s="1" t="s">
        <v>14</v>
      </c>
      <c r="C42" s="8">
        <v>11456</v>
      </c>
      <c r="D42" s="2">
        <v>81671</v>
      </c>
      <c r="E42" s="13">
        <f t="shared" ref="E42:E44" si="1">C42/D42</f>
        <v>0.14027010811671217</v>
      </c>
    </row>
    <row r="43" spans="1:15" x14ac:dyDescent="0.25">
      <c r="B43" s="1" t="s">
        <v>15</v>
      </c>
      <c r="C43" s="8">
        <v>5162</v>
      </c>
      <c r="D43" s="2">
        <v>68240</v>
      </c>
      <c r="E43" s="13">
        <f t="shared" si="1"/>
        <v>7.5644783118405626E-2</v>
      </c>
    </row>
    <row r="44" spans="1:15" x14ac:dyDescent="0.25">
      <c r="B44" s="3" t="s">
        <v>20</v>
      </c>
      <c r="C44" s="9">
        <f>SUM(C41:C43)</f>
        <v>18406</v>
      </c>
      <c r="D44" s="4">
        <f>SUM(D41:D43)</f>
        <v>173751</v>
      </c>
      <c r="E44" s="14">
        <f t="shared" si="1"/>
        <v>0.10593320326213949</v>
      </c>
    </row>
  </sheetData>
  <autoFilter ref="B4:F3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COMPARACIÓN Tabla Din</vt:lpstr>
      <vt:lpstr>CL Tabla Din</vt:lpstr>
      <vt:lpstr>CO Tabla Din</vt:lpstr>
      <vt:lpstr>Hoja6</vt:lpstr>
      <vt:lpstr>Chile</vt:lpstr>
      <vt:lpstr>Colombia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Fabbri  Garcia</dc:creator>
  <cp:lastModifiedBy>Carlos Fabbri  Garcia</cp:lastModifiedBy>
  <cp:lastPrinted>2018-04-05T15:18:29Z</cp:lastPrinted>
  <dcterms:created xsi:type="dcterms:W3CDTF">2018-04-03T17:14:35Z</dcterms:created>
  <dcterms:modified xsi:type="dcterms:W3CDTF">2018-04-10T16:01:09Z</dcterms:modified>
</cp:coreProperties>
</file>